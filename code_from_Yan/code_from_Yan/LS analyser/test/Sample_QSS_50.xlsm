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workbook.xml" ContentType="application/vnd.ms-excel.sheet.macroEnabled.main+xml"/>
  <Override PartName="/xl/worksheets/sheet6.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vbaProject.bin" ContentType="application/vnd.ms-office.vbaProject"/>
  <Override PartName="/xl/worksheets/sheet5.xml" ContentType="application/vnd.openxmlformats-officedocument.spreadsheetml.worksheet+xml"/>
  <Override PartName="/xl/charts/chart7.xml" ContentType="application/vnd.openxmlformats-officedocument.drawingml.chart+xml"/>
  <Override PartName="/xl/drawings/drawing3.xml" ContentType="application/vnd.openxmlformats-officedocument.drawing+xml"/>
  <Override PartName="/xl/worksheets/sheet2.xml" ContentType="application/vnd.openxmlformats-officedocument.spreadsheetml.worksheet+xml"/>
  <Override PartName="/xl/charts/chart6.xml" ContentType="application/vnd.openxmlformats-officedocument.drawingml.chart+xml"/>
  <Override PartName="/xl/worksheets/sheet1.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charts/chart1.xml" ContentType="application/vnd.openxmlformats-officedocument.drawingml.chart+xml"/>
  <Override PartName="/xl/styles.xml" ContentType="application/vnd.openxmlformats-officedocument.spreadsheetml.styles+xml"/>
  <Override PartName="/xl/drawings/drawing2.xml" ContentType="application/vnd.openxmlformats-officedocument.drawing+xml"/>
  <Override PartName="/xl/sharedStrings.xml" ContentType="application/vnd.openxmlformats-officedocument.spreadsheetml.sharedStrings+xml"/>
  <Override PartName="/xl/charts/chart2.xml" ContentType="application/vnd.openxmlformats-officedocument.drawingml.chart+xml"/>
  <Override PartName="/xl/charts/chart4.xml" ContentType="application/vnd.openxmlformats-officedocument.drawingml.chart+xml"/>
  <Override PartName="/xl/worksheets/sheet7.xml" ContentType="application/vnd.openxmlformats-officedocument.spreadsheetml.worksheet+xml"/>
  <Override PartName="/xl/charts/chart3.xml" ContentType="application/vnd.openxmlformats-officedocument.drawingml.chart+xml"/>
  <Override PartName="/xl/worksheets/sheet8.xml" ContentType="application/vnd.openxmlformats-officedocument.spreadsheetml.worksheet+xml"/>
  <Override PartName="/xl/charts/chart5.xml" ContentType="application/vnd.openxmlformats-officedocument.drawingml.chart+xml"/>
  <Override PartName="/xl/externalLinks/externalLink1.xml" ContentType="application/vnd.openxmlformats-officedocument.spreadsheetml.externalLink+xml"/>
  <Override PartName="/xl/comments1.xml" ContentType="application/vnd.openxmlformats-officedocument.spreadsheetml.comments+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trlProps/ctrlProp3.xml" ContentType="application/vnd.ms-excel.controlproperties+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4505" yWindow="405" windowWidth="9495" windowHeight="9720"/>
  </bookViews>
  <sheets>
    <sheet name="User" sheetId="8" r:id="rId1"/>
    <sheet name="Calc" sheetId="3" state="veryHidden" r:id="rId2"/>
    <sheet name="Settings" sheetId="14" r:id="rId3"/>
    <sheet name="Summary" sheetId="9" r:id="rId4"/>
    <sheet name="Multi" sheetId="21" r:id="rId5"/>
    <sheet name="RawData" sheetId="15" r:id="rId6"/>
    <sheet name="Command" sheetId="13" state="veryHidden" r:id="rId7"/>
    <sheet name="Module1" sheetId="4" state="veryHidden" r:id=""/>
    <sheet name="Plots" sheetId="20" r:id="rId8"/>
  </sheets>
  <functionGroups builtInGroupCount="17"/>
  <externalReferences>
    <externalReference r:id="rId9"/>
  </externalReferences>
  <definedNames>
    <definedName name="A_cal">Settings!$C$6</definedName>
    <definedName name="AccessSummary">Settings!$E$6</definedName>
    <definedName name="AccessSummaryFN">Settings!$F$6</definedName>
    <definedName name="Air_Voltage">Settings!$C$10</definedName>
    <definedName name="AirVoltageError">Calc!$R$4</definedName>
    <definedName name="AirVoltageRange">Settings!$E$26</definedName>
    <definedName name="AirVStdev">Settings!$O$15</definedName>
    <definedName name="AnalysisMode">User!$H$6</definedName>
    <definedName name="AnalysisModeErrorMsg">Calc!$T$1</definedName>
    <definedName name="AreaFrac">Settings!$C$15</definedName>
    <definedName name="Auger_Coefficient">Settings!$C$13</definedName>
    <definedName name="AugerModel">Settings!$C$17</definedName>
    <definedName name="AugerModelList">Command!$B$40:$B$41</definedName>
    <definedName name="AutoRescale">Settings!$E$14</definedName>
    <definedName name="AutoSummary">Settings!$E$7</definedName>
    <definedName name="AveInvTau">Calc!#REF!</definedName>
    <definedName name="B_cal">Settings!$C$7</definedName>
    <definedName name="BandGapOption">Settings!#REF!</definedName>
    <definedName name="BaseGainFlag">Command!$E$5</definedName>
    <definedName name="BiasLight">User!$G$6</definedName>
    <definedName name="BiasPtCD">Calc!$M$6</definedName>
    <definedName name="C_cal">Settings!$C$9</definedName>
    <definedName name="C_wafer">Settings!$H$6</definedName>
    <definedName name="CorrectedResistivity">Calc!$AE$6</definedName>
    <definedName name="CorrectedSheetRho">Calc!$AD$6</definedName>
    <definedName name="CouplingMode">Settings!$C$14</definedName>
    <definedName name="cutoffflag">Command!$E$13</definedName>
    <definedName name="Dark_Voltage">Calc!$A$6</definedName>
    <definedName name="DK">Command!$B$46</definedName>
    <definedName name="DL">Command!$B$47</definedName>
    <definedName name="ExcelAutosave">Settings!$E$11</definedName>
    <definedName name="ExcelSummary">Settings!$E$4</definedName>
    <definedName name="ExcelSummaryFN">Settings!$F$4</definedName>
    <definedName name="FirstPoint">Calc!$L$6</definedName>
    <definedName name="Fit_Range">Settings!$C$16</definedName>
    <definedName name="FitIntercept">Calc!$Q$6</definedName>
    <definedName name="FitInterceptAuger">Calc!$U$6</definedName>
    <definedName name="FitRangeMax">Calc!$H$6</definedName>
    <definedName name="FitRangeMin">Calc!$G$6</definedName>
    <definedName name="FitSlope">Calc!$P$6</definedName>
    <definedName name="FitSlopeAuger">Calc!$T$6</definedName>
    <definedName name="flashWaitFlag">Command!$E$10</definedName>
    <definedName name="HighTemp">User!$M$6</definedName>
    <definedName name="ImpliedVoc1sun">Calc!$AB$6</definedName>
    <definedName name="InputRangeAvg">#REF!</definedName>
    <definedName name="InputRangeFit">#REF!</definedName>
    <definedName name="InputRangeMCD">#REF!</definedName>
    <definedName name="InputRangeMode">#REF!</definedName>
    <definedName name="InputRangeOptConst">#REF!</definedName>
    <definedName name="InputRangePC">#REF!</definedName>
    <definedName name="InputRangeRef">#REF!</definedName>
    <definedName name="InputRangeType">#REF!</definedName>
    <definedName name="InputResCoverSheet">#REF!</definedName>
    <definedName name="InputResistivity">User!$C$6</definedName>
    <definedName name="InstrumentSN">Settings!$C$4</definedName>
    <definedName name="InstrumentType">Settings!$C$3</definedName>
    <definedName name="IsLogged">User!$K$6</definedName>
    <definedName name="Jo">Calc!$AA$6</definedName>
    <definedName name="LifetimeTextLabel">Calc!$M$1</definedName>
    <definedName name="LightBiasErrorMsg">Calc!$R$3</definedName>
    <definedName name="LowTemp">User!$L$6</definedName>
    <definedName name="ltransientFlag">Command!$E$7</definedName>
    <definedName name="MaxApparentCD">Calc!$J$6</definedName>
    <definedName name="MaxSuns">Calc!$F$6</definedName>
    <definedName name="MaxTauLimit">Settings!$C$25</definedName>
    <definedName name="MCDErrorMsg">Calc!$R$2</definedName>
    <definedName name="MeasDate">Calc!$F$1</definedName>
    <definedName name="MeasTime">Calc!$F$2</definedName>
    <definedName name="MeasureCmd">Command!$H$4</definedName>
    <definedName name="MeasuredLifetime">Calc!$R$6</definedName>
    <definedName name="MeasuredLifetimeAuger">Calc!$V$6</definedName>
    <definedName name="MeasuredResistivity">Calc!$C$6</definedName>
    <definedName name="MeasureTempCmd">Command!$H$6</definedName>
    <definedName name="MinApparentCD">Calc!$I$6</definedName>
    <definedName name="MinTauLimit">Settings!$C$24</definedName>
    <definedName name="MobilityModel">Settings!$C$18</definedName>
    <definedName name="mobilitymodelerror">Calc!$T$2</definedName>
    <definedName name="MobilityModelList">Command!$B$46:$B$47</definedName>
    <definedName name="Mode_List">Command!$B$32:$B$35</definedName>
    <definedName name="ntransientFlag">Command!$E$8</definedName>
    <definedName name="numflashes">Command!$C$11</definedName>
    <definedName name="numFlashesFlag">Command!$E$11</definedName>
    <definedName name="NumFlashesInitial">Settings!$E$20</definedName>
    <definedName name="ONOFFList">Command!$B$43:$B$44</definedName>
    <definedName name="OptConst">User!$E$6</definedName>
    <definedName name="PassFailMsg">Settings!$C$26</definedName>
    <definedName name="PathName">Command!$H$3</definedName>
    <definedName name="PC_ZoomIn">Command!$C$23</definedName>
    <definedName name="PC_ZoomOut">Command!$C$22</definedName>
    <definedName name="PCGainFlag">Command!$E$3</definedName>
    <definedName name="PCRange">Command!$C$3</definedName>
    <definedName name="PCRefRatio">Calc!$E$6</definedName>
    <definedName name="PCVoltageUpperBound">Command!$C$17</definedName>
    <definedName name="PCVoltUpperBound">Command!$C$17</definedName>
    <definedName name="PlotList">Command!#REF!</definedName>
    <definedName name="PulseLength">Settings!$E$29</definedName>
    <definedName name="PulseLengthFlag">Command!$E$6</definedName>
    <definedName name="QSSFlashDelay">Settings!$E$21</definedName>
    <definedName name="Ref_ZoomIn">Command!$E$23</definedName>
    <definedName name="Ref_ZoomOut">Command!$E$22</definedName>
    <definedName name="RefCellCal">Settings!$C$5</definedName>
    <definedName name="RefCellErrorMsg">Calc!$R$1</definedName>
    <definedName name="RefGainFlag">Command!$E$4</definedName>
    <definedName name="RefRange">Command!$C$4</definedName>
    <definedName name="RefVoltageUpperBound">Command!$E$17</definedName>
    <definedName name="SampleDoping">Calc!$D$6</definedName>
    <definedName name="SampleInputType">#REF!</definedName>
    <definedName name="SampleNameCoverSheet">#REF!</definedName>
    <definedName name="SampleNameUserSheet">User!$A$6</definedName>
    <definedName name="SampleType">User!$D$6</definedName>
    <definedName name="SheetResistance">Calc!$B$6</definedName>
    <definedName name="ShowUserForm">Settings!$E$17</definedName>
    <definedName name="solver_adj" localSheetId="1" hidden="1">Calc!#REF!,Calc!#REF!</definedName>
    <definedName name="solver_drv" localSheetId="1" hidden="1">1</definedName>
    <definedName name="solver_est" localSheetId="1" hidden="1">1</definedName>
    <definedName name="solver_itr" localSheetId="1" hidden="1">10</definedName>
    <definedName name="solver_lin" localSheetId="1" hidden="1">1</definedName>
    <definedName name="solver_num" localSheetId="1" hidden="1">0</definedName>
    <definedName name="solver_nwt" localSheetId="1" hidden="1">1</definedName>
    <definedName name="solver_opt" localSheetId="1" hidden="1">Calc!#REF!</definedName>
    <definedName name="solver_pre" localSheetId="1" hidden="1">0.001</definedName>
    <definedName name="solver_scl" localSheetId="1" hidden="1">2</definedName>
    <definedName name="solver_sho" localSheetId="1" hidden="1">2</definedName>
    <definedName name="solver_tim" localSheetId="1" hidden="1">30</definedName>
    <definedName name="solver_tol" localSheetId="1" hidden="1">0.05</definedName>
    <definedName name="solver_typ" localSheetId="1" hidden="1">2</definedName>
    <definedName name="solver_val" localSheetId="1" hidden="1">0</definedName>
    <definedName name="SpecMCD">User!$F$6</definedName>
    <definedName name="SpecMCDminusTraps">Calc!$O$6</definedName>
    <definedName name="StepSize">User!$N$6</definedName>
    <definedName name="TauFitIntercept">Calc!$Y$6</definedName>
    <definedName name="TauInvspecMCD">Calc!$X$6</definedName>
    <definedName name="Temperature">Calc!$F$3</definedName>
    <definedName name="TempScanAverage">Settings!$E$23</definedName>
    <definedName name="TextSummary">Settings!$E$5</definedName>
    <definedName name="TextSummaryFN">Settings!$F$5</definedName>
    <definedName name="TF_List">Command!$B$29:$B$30</definedName>
    <definedName name="TF_PassFail">Settings!$C$23</definedName>
    <definedName name="Thickness">User!$B$6</definedName>
    <definedName name="ThicknessCoverSheet">#REF!</definedName>
    <definedName name="TimeofMaxCD">Calc!$K$6</definedName>
    <definedName name="TimeScaleFlags">Command!$H$7</definedName>
    <definedName name="TNumTaus">Settings!$E$31</definedName>
    <definedName name="Tolerance">User!$O$6</definedName>
    <definedName name="TransFlashDelay">Settings!$E$22</definedName>
    <definedName name="Traps">Calc!$N$6</definedName>
    <definedName name="TSampleTime">Settings!$E$30</definedName>
    <definedName name="type_list">Command!$B$37:$B$38</definedName>
    <definedName name="ViewPoint">User!$I$2</definedName>
    <definedName name="VRangeList">Command!$D$30:$D$37</definedName>
    <definedName name="xferFlag">Command!$E$9</definedName>
    <definedName name="ZeroInstrCmd">Command!$H$5</definedName>
    <definedName name="ZeroInstTime">Settings!$O$17</definedName>
  </definedNames>
  <calcPr calcId="145621"/>
</workbook>
</file>

<file path=xl/calcChain.xml><?xml version="1.0" encoding="utf-8"?>
<calcChain xmlns="http://schemas.openxmlformats.org/spreadsheetml/2006/main">
  <c r="AC44" i="3" l="1"/>
  <c r="C13" i="13" l="1"/>
  <c r="E13" i="13" s="1"/>
  <c r="T2" i="3" l="1"/>
  <c r="W134" i="3"/>
  <c r="D2" i="9" l="1"/>
  <c r="L9" i="8" l="1"/>
  <c r="AC43" i="3" l="1"/>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AD12" i="3" l="1"/>
  <c r="AD11" i="3"/>
  <c r="AD10" i="3"/>
  <c r="AD9" i="3"/>
  <c r="E6" i="3"/>
  <c r="T1" i="3" s="1"/>
  <c r="E9" i="3"/>
  <c r="G6" i="3" l="1"/>
  <c r="D9" i="3"/>
  <c r="D17" i="3" l="1"/>
  <c r="N134" i="3" l="1"/>
  <c r="A2" i="15" l="1"/>
  <c r="B2" i="15"/>
  <c r="C2" i="15"/>
  <c r="E2" i="15"/>
  <c r="F2" i="15"/>
  <c r="A3" i="15"/>
  <c r="B3" i="15"/>
  <c r="C3" i="15"/>
  <c r="E3" i="15"/>
  <c r="F3" i="15"/>
  <c r="A4" i="15"/>
  <c r="B4" i="15"/>
  <c r="C4" i="15"/>
  <c r="A5" i="15"/>
  <c r="B5" i="15"/>
  <c r="C5" i="15"/>
  <c r="A6" i="15"/>
  <c r="B6" i="15"/>
  <c r="C6" i="15"/>
  <c r="A7" i="15"/>
  <c r="B7" i="15"/>
  <c r="C7" i="15"/>
  <c r="A8" i="15"/>
  <c r="B8" i="15"/>
  <c r="C8" i="15"/>
  <c r="A9" i="15"/>
  <c r="B9" i="15"/>
  <c r="C9" i="15"/>
  <c r="A10" i="15"/>
  <c r="B10" i="15"/>
  <c r="C10" i="15"/>
  <c r="A11" i="15"/>
  <c r="B11" i="15"/>
  <c r="C11" i="15"/>
  <c r="A12" i="15"/>
  <c r="B12" i="15"/>
  <c r="C12" i="15"/>
  <c r="A13" i="15"/>
  <c r="B13" i="15"/>
  <c r="C13" i="15"/>
  <c r="A14" i="15"/>
  <c r="B14" i="15"/>
  <c r="C14" i="15"/>
  <c r="A15" i="15"/>
  <c r="B15" i="15"/>
  <c r="C15" i="15"/>
  <c r="A16" i="15"/>
  <c r="B16" i="15"/>
  <c r="C16" i="15"/>
  <c r="A17" i="15"/>
  <c r="B17" i="15"/>
  <c r="C17" i="15"/>
  <c r="A18" i="15"/>
  <c r="B18" i="15"/>
  <c r="C18" i="15"/>
  <c r="A19" i="15"/>
  <c r="B19" i="15"/>
  <c r="C19" i="15"/>
  <c r="A20" i="15"/>
  <c r="B20" i="15"/>
  <c r="C20" i="15"/>
  <c r="A21" i="15"/>
  <c r="B21" i="15"/>
  <c r="C21" i="15"/>
  <c r="A22" i="15"/>
  <c r="B22" i="15"/>
  <c r="C22" i="15"/>
  <c r="A23" i="15"/>
  <c r="B23" i="15"/>
  <c r="C23" i="15"/>
  <c r="A24" i="15"/>
  <c r="B24" i="15"/>
  <c r="C24" i="15"/>
  <c r="A25" i="15"/>
  <c r="B25" i="15"/>
  <c r="C25" i="15"/>
  <c r="A26" i="15"/>
  <c r="B26" i="15"/>
  <c r="C26" i="15"/>
  <c r="A27" i="15"/>
  <c r="B27" i="15"/>
  <c r="C27" i="15"/>
  <c r="A28" i="15"/>
  <c r="B28" i="15"/>
  <c r="C28" i="15"/>
  <c r="A29" i="15"/>
  <c r="B29" i="15"/>
  <c r="C29" i="15"/>
  <c r="A30" i="15"/>
  <c r="B30" i="15"/>
  <c r="C30" i="15"/>
  <c r="A31" i="15"/>
  <c r="B31" i="15"/>
  <c r="C31" i="15"/>
  <c r="A32" i="15"/>
  <c r="B32" i="15"/>
  <c r="C32" i="15"/>
  <c r="A33" i="15"/>
  <c r="B33" i="15"/>
  <c r="C33" i="15"/>
  <c r="A34" i="15"/>
  <c r="B34" i="15"/>
  <c r="C34" i="15"/>
  <c r="A35" i="15"/>
  <c r="B35" i="15"/>
  <c r="C35" i="15"/>
  <c r="A36" i="15"/>
  <c r="B36" i="15"/>
  <c r="C36" i="15"/>
  <c r="A37" i="15"/>
  <c r="B37" i="15"/>
  <c r="C37" i="15"/>
  <c r="A38" i="15"/>
  <c r="B38" i="15"/>
  <c r="C38" i="15"/>
  <c r="A39" i="15"/>
  <c r="B39" i="15"/>
  <c r="C39" i="15"/>
  <c r="A40" i="15"/>
  <c r="B40" i="15"/>
  <c r="C40" i="15"/>
  <c r="A41" i="15"/>
  <c r="B41" i="15"/>
  <c r="C41" i="15"/>
  <c r="A42" i="15"/>
  <c r="B42" i="15"/>
  <c r="C42" i="15"/>
  <c r="A43" i="15"/>
  <c r="B43" i="15"/>
  <c r="C43" i="15"/>
  <c r="A44" i="15"/>
  <c r="B44" i="15"/>
  <c r="C44" i="15"/>
  <c r="A45" i="15"/>
  <c r="B45" i="15"/>
  <c r="C45" i="15"/>
  <c r="A46" i="15"/>
  <c r="B46" i="15"/>
  <c r="C46" i="15"/>
  <c r="A47" i="15"/>
  <c r="B47" i="15"/>
  <c r="C47" i="15"/>
  <c r="A48" i="15"/>
  <c r="B48" i="15"/>
  <c r="C48" i="15"/>
  <c r="A49" i="15"/>
  <c r="B49" i="15"/>
  <c r="C49" i="15"/>
  <c r="A50" i="15"/>
  <c r="B50" i="15"/>
  <c r="C50" i="15"/>
  <c r="A51" i="15"/>
  <c r="B51" i="15"/>
  <c r="C51" i="15"/>
  <c r="A52" i="15"/>
  <c r="B52" i="15"/>
  <c r="C52" i="15"/>
  <c r="A53" i="15"/>
  <c r="B53" i="15"/>
  <c r="C53" i="15"/>
  <c r="A54" i="15"/>
  <c r="B54" i="15"/>
  <c r="C54" i="15"/>
  <c r="A55" i="15"/>
  <c r="B55" i="15"/>
  <c r="C55" i="15"/>
  <c r="A56" i="15"/>
  <c r="B56" i="15"/>
  <c r="C56" i="15"/>
  <c r="A57" i="15"/>
  <c r="B57" i="15"/>
  <c r="C57" i="15"/>
  <c r="A58" i="15"/>
  <c r="B58" i="15"/>
  <c r="C58" i="15"/>
  <c r="A59" i="15"/>
  <c r="B59" i="15"/>
  <c r="C59" i="15"/>
  <c r="A60" i="15"/>
  <c r="B60" i="15"/>
  <c r="C60" i="15"/>
  <c r="A61" i="15"/>
  <c r="B61" i="15"/>
  <c r="C61" i="15"/>
  <c r="A62" i="15"/>
  <c r="B62" i="15"/>
  <c r="C62" i="15"/>
  <c r="A63" i="15"/>
  <c r="B63" i="15"/>
  <c r="C63" i="15"/>
  <c r="A64" i="15"/>
  <c r="B64" i="15"/>
  <c r="C64" i="15"/>
  <c r="A65" i="15"/>
  <c r="B65" i="15"/>
  <c r="C65" i="15"/>
  <c r="A66" i="15"/>
  <c r="B66" i="15"/>
  <c r="C66" i="15"/>
  <c r="A67" i="15"/>
  <c r="B67" i="15"/>
  <c r="C67" i="15"/>
  <c r="A68" i="15"/>
  <c r="B68" i="15"/>
  <c r="C68" i="15"/>
  <c r="A69" i="15"/>
  <c r="B69" i="15"/>
  <c r="C69" i="15"/>
  <c r="A70" i="15"/>
  <c r="B70" i="15"/>
  <c r="C70" i="15"/>
  <c r="A71" i="15"/>
  <c r="B71" i="15"/>
  <c r="C71" i="15"/>
  <c r="A72" i="15"/>
  <c r="B72" i="15"/>
  <c r="C72" i="15"/>
  <c r="A73" i="15"/>
  <c r="B73" i="15"/>
  <c r="C73" i="15"/>
  <c r="A74" i="15"/>
  <c r="B74" i="15"/>
  <c r="C74" i="15"/>
  <c r="A75" i="15"/>
  <c r="B75" i="15"/>
  <c r="C75" i="15"/>
  <c r="A76" i="15"/>
  <c r="B76" i="15"/>
  <c r="C76" i="15"/>
  <c r="A77" i="15"/>
  <c r="B77" i="15"/>
  <c r="C77" i="15"/>
  <c r="A78" i="15"/>
  <c r="B78" i="15"/>
  <c r="C78" i="15"/>
  <c r="A79" i="15"/>
  <c r="B79" i="15"/>
  <c r="C79" i="15"/>
  <c r="A80" i="15"/>
  <c r="B80" i="15"/>
  <c r="C80" i="15"/>
  <c r="A81" i="15"/>
  <c r="B81" i="15"/>
  <c r="C81" i="15"/>
  <c r="A82" i="15"/>
  <c r="B82" i="15"/>
  <c r="C82" i="15"/>
  <c r="A83" i="15"/>
  <c r="B83" i="15"/>
  <c r="C83" i="15"/>
  <c r="A84" i="15"/>
  <c r="B84" i="15"/>
  <c r="C84" i="15"/>
  <c r="A85" i="15"/>
  <c r="B85" i="15"/>
  <c r="C85" i="15"/>
  <c r="A86" i="15"/>
  <c r="B86" i="15"/>
  <c r="C86" i="15"/>
  <c r="A87" i="15"/>
  <c r="B87" i="15"/>
  <c r="C87" i="15"/>
  <c r="A88" i="15"/>
  <c r="B88" i="15"/>
  <c r="C88" i="15"/>
  <c r="A89" i="15"/>
  <c r="B89" i="15"/>
  <c r="C89" i="15"/>
  <c r="A90" i="15"/>
  <c r="B90" i="15"/>
  <c r="C90" i="15"/>
  <c r="A91" i="15"/>
  <c r="B91" i="15"/>
  <c r="C91" i="15"/>
  <c r="A92" i="15"/>
  <c r="B92" i="15"/>
  <c r="C92" i="15"/>
  <c r="A93" i="15"/>
  <c r="B93" i="15"/>
  <c r="C93" i="15"/>
  <c r="A94" i="15"/>
  <c r="B94" i="15"/>
  <c r="C94" i="15"/>
  <c r="A95" i="15"/>
  <c r="B95" i="15"/>
  <c r="C95" i="15"/>
  <c r="A96" i="15"/>
  <c r="B96" i="15"/>
  <c r="C96" i="15"/>
  <c r="A97" i="15"/>
  <c r="B97" i="15"/>
  <c r="C97" i="15"/>
  <c r="A98" i="15"/>
  <c r="B98" i="15"/>
  <c r="C98" i="15"/>
  <c r="A99" i="15"/>
  <c r="B99" i="15"/>
  <c r="C99" i="15"/>
  <c r="A100" i="15"/>
  <c r="B100" i="15"/>
  <c r="C100" i="15"/>
  <c r="A101" i="15"/>
  <c r="B101" i="15"/>
  <c r="C101" i="15"/>
  <c r="A102" i="15"/>
  <c r="B102" i="15"/>
  <c r="C102" i="15"/>
  <c r="A103" i="15"/>
  <c r="B103" i="15"/>
  <c r="C103" i="15"/>
  <c r="A104" i="15"/>
  <c r="B104" i="15"/>
  <c r="C104" i="15"/>
  <c r="A105" i="15"/>
  <c r="B105" i="15"/>
  <c r="C105" i="15"/>
  <c r="A106" i="15"/>
  <c r="B106" i="15"/>
  <c r="C106" i="15"/>
  <c r="A107" i="15"/>
  <c r="B107" i="15"/>
  <c r="C107" i="15"/>
  <c r="A108" i="15"/>
  <c r="B108" i="15"/>
  <c r="C108" i="15"/>
  <c r="A109" i="15"/>
  <c r="B109" i="15"/>
  <c r="C109" i="15"/>
  <c r="A110" i="15"/>
  <c r="B110" i="15"/>
  <c r="C110" i="15"/>
  <c r="A111" i="15"/>
  <c r="B111" i="15"/>
  <c r="C111" i="15"/>
  <c r="A112" i="15"/>
  <c r="B112" i="15"/>
  <c r="C112" i="15"/>
  <c r="A113" i="15"/>
  <c r="B113" i="15"/>
  <c r="C113" i="15"/>
  <c r="A114" i="15"/>
  <c r="B114" i="15"/>
  <c r="C114" i="15"/>
  <c r="A115" i="15"/>
  <c r="B115" i="15"/>
  <c r="C115" i="15"/>
  <c r="A116" i="15"/>
  <c r="B116" i="15"/>
  <c r="C116" i="15"/>
  <c r="A117" i="15"/>
  <c r="B117" i="15"/>
  <c r="C117" i="15"/>
  <c r="A118" i="15"/>
  <c r="B118" i="15"/>
  <c r="C118" i="15"/>
  <c r="A119" i="15"/>
  <c r="B119" i="15"/>
  <c r="C119" i="15"/>
  <c r="A120" i="15"/>
  <c r="B120" i="15"/>
  <c r="C120" i="15"/>
  <c r="A121" i="15"/>
  <c r="B121" i="15"/>
  <c r="C121" i="15"/>
  <c r="A122" i="15"/>
  <c r="B122" i="15"/>
  <c r="C122" i="15"/>
  <c r="A123" i="15"/>
  <c r="B123" i="15"/>
  <c r="C123" i="15"/>
  <c r="A124" i="15"/>
  <c r="B124" i="15"/>
  <c r="C124" i="15"/>
  <c r="A125" i="15"/>
  <c r="B125" i="15"/>
  <c r="C125" i="15"/>
  <c r="E125" i="15"/>
  <c r="F125" i="15"/>
  <c r="A126" i="15"/>
  <c r="B126" i="15"/>
  <c r="C126" i="15"/>
  <c r="E126" i="15"/>
  <c r="F126" i="15"/>
  <c r="O15" i="14" l="1"/>
  <c r="Z10" i="3"/>
  <c r="Z11"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9" i="3"/>
  <c r="C6" i="13" l="1"/>
  <c r="C7" i="13"/>
  <c r="C8" i="13"/>
  <c r="E6" i="13"/>
  <c r="H7" i="13" s="1"/>
  <c r="E21" i="14"/>
  <c r="C10" i="13" s="1"/>
  <c r="E21" i="13" l="1"/>
  <c r="C21" i="13"/>
  <c r="E18" i="13"/>
  <c r="C18" i="13"/>
  <c r="B18" i="13"/>
  <c r="E17" i="13"/>
  <c r="F17" i="13" s="1"/>
  <c r="C17" i="13"/>
  <c r="D17" i="13" s="1"/>
  <c r="D18" i="13" l="1"/>
  <c r="F18" i="13"/>
  <c r="C12" i="13" l="1"/>
  <c r="D12" i="13" s="1"/>
  <c r="E12" i="13" s="1"/>
  <c r="H5" i="13" s="1"/>
  <c r="E11" i="13"/>
  <c r="E9" i="13"/>
  <c r="E8" i="13"/>
  <c r="E7" i="13"/>
  <c r="D5" i="13" l="1"/>
  <c r="E5" i="13" s="1"/>
  <c r="D4" i="13"/>
  <c r="D3" i="13"/>
  <c r="E22" i="13" l="1"/>
  <c r="E23" i="13"/>
  <c r="C22" i="13"/>
  <c r="C23" i="13"/>
  <c r="E3" i="13"/>
  <c r="Z2" i="9"/>
  <c r="X2" i="9"/>
  <c r="W2" i="9"/>
  <c r="V2" i="9"/>
  <c r="J2" i="9" l="1"/>
  <c r="I2" i="9"/>
  <c r="H2" i="9"/>
  <c r="G2" i="9"/>
  <c r="E2" i="9"/>
  <c r="C2" i="9"/>
  <c r="B2" i="9"/>
  <c r="A2" i="9"/>
  <c r="E12" i="14"/>
  <c r="C10" i="14" l="1"/>
  <c r="C9" i="14" s="1"/>
  <c r="V139" i="3"/>
  <c r="D133" i="3"/>
  <c r="E133" i="3"/>
  <c r="D132" i="3"/>
  <c r="E132" i="3"/>
  <c r="D131" i="3"/>
  <c r="E131" i="3"/>
  <c r="D130" i="3"/>
  <c r="E130" i="3"/>
  <c r="D129" i="3"/>
  <c r="E129" i="3"/>
  <c r="D128" i="3"/>
  <c r="E128" i="3"/>
  <c r="D127" i="3"/>
  <c r="E127" i="3"/>
  <c r="D126" i="3"/>
  <c r="E126" i="3"/>
  <c r="D125" i="3"/>
  <c r="E125" i="3"/>
  <c r="D124" i="3"/>
  <c r="E124" i="3"/>
  <c r="D123" i="3"/>
  <c r="E123" i="3"/>
  <c r="D122" i="3"/>
  <c r="E122" i="3"/>
  <c r="D121" i="3"/>
  <c r="E121" i="3"/>
  <c r="D120" i="3"/>
  <c r="E120" i="3"/>
  <c r="D119" i="3"/>
  <c r="E119" i="3"/>
  <c r="D118" i="3"/>
  <c r="E118" i="3"/>
  <c r="D117" i="3"/>
  <c r="E117" i="3"/>
  <c r="D116" i="3"/>
  <c r="E116" i="3"/>
  <c r="D115" i="3"/>
  <c r="E115" i="3"/>
  <c r="D114" i="3"/>
  <c r="E114" i="3"/>
  <c r="D113" i="3"/>
  <c r="E113" i="3"/>
  <c r="D112" i="3"/>
  <c r="E112" i="3"/>
  <c r="D111" i="3"/>
  <c r="E111" i="3"/>
  <c r="D110" i="3"/>
  <c r="E110" i="3"/>
  <c r="D109" i="3"/>
  <c r="E109" i="3"/>
  <c r="D108" i="3"/>
  <c r="E108" i="3"/>
  <c r="D107" i="3"/>
  <c r="E107" i="3"/>
  <c r="D106" i="3"/>
  <c r="R4" i="3" l="1"/>
  <c r="Y2" i="9"/>
  <c r="N107" i="3"/>
  <c r="N108" i="3"/>
  <c r="N109" i="3"/>
  <c r="N110" i="3"/>
  <c r="N111" i="3"/>
  <c r="N112" i="3"/>
  <c r="N113" i="3"/>
  <c r="N114" i="3"/>
  <c r="N115" i="3"/>
  <c r="N116" i="3"/>
  <c r="N117" i="3"/>
  <c r="N118" i="3"/>
  <c r="N119" i="3"/>
  <c r="N120" i="3"/>
  <c r="N121" i="3"/>
  <c r="N122" i="3"/>
  <c r="N123" i="3"/>
  <c r="N124" i="3"/>
  <c r="N125" i="3"/>
  <c r="N126" i="3"/>
  <c r="N127" i="3"/>
  <c r="N128" i="3"/>
  <c r="N129" i="3"/>
  <c r="N130" i="3"/>
  <c r="N131" i="3"/>
  <c r="F122" i="3"/>
  <c r="G122" i="3" s="1"/>
  <c r="F114" i="3"/>
  <c r="G114" i="3" s="1"/>
  <c r="F110" i="3"/>
  <c r="G110" i="3" s="1"/>
  <c r="F118" i="3"/>
  <c r="G118" i="3" s="1"/>
  <c r="F108" i="3"/>
  <c r="G108" i="3" s="1"/>
  <c r="F112" i="3"/>
  <c r="G112" i="3" s="1"/>
  <c r="F116" i="3"/>
  <c r="G116" i="3" s="1"/>
  <c r="F120" i="3"/>
  <c r="G120" i="3" s="1"/>
  <c r="F107" i="3"/>
  <c r="G107" i="3" s="1"/>
  <c r="F109" i="3"/>
  <c r="G109" i="3" s="1"/>
  <c r="F111" i="3"/>
  <c r="G111" i="3" s="1"/>
  <c r="F113" i="3"/>
  <c r="G113" i="3" s="1"/>
  <c r="F115" i="3"/>
  <c r="G115" i="3" s="1"/>
  <c r="F117" i="3"/>
  <c r="G117" i="3" s="1"/>
  <c r="F119" i="3"/>
  <c r="G119" i="3" s="1"/>
  <c r="F121" i="3"/>
  <c r="G121" i="3" s="1"/>
  <c r="F123" i="3"/>
  <c r="G123" i="3" s="1"/>
  <c r="F124" i="3"/>
  <c r="G124" i="3" s="1"/>
  <c r="F125" i="3"/>
  <c r="G125" i="3" s="1"/>
  <c r="F126" i="3"/>
  <c r="G126" i="3" s="1"/>
  <c r="F127" i="3"/>
  <c r="G127" i="3" s="1"/>
  <c r="F128" i="3"/>
  <c r="G128" i="3" s="1"/>
  <c r="F129" i="3"/>
  <c r="G129" i="3" s="1"/>
  <c r="F130" i="3"/>
  <c r="G130" i="3" s="1"/>
  <c r="F131" i="3"/>
  <c r="G131" i="3" s="1"/>
  <c r="F132" i="3"/>
  <c r="G132" i="3" s="1"/>
  <c r="M132" i="3"/>
  <c r="N133"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N132" i="3"/>
  <c r="F133" i="3"/>
  <c r="G133" i="3" s="1"/>
  <c r="M133" i="3"/>
  <c r="E106" i="3"/>
  <c r="D105" i="3"/>
  <c r="E105" i="3"/>
  <c r="D104" i="3"/>
  <c r="E104" i="3"/>
  <c r="D103" i="3"/>
  <c r="E103" i="3"/>
  <c r="D102" i="3"/>
  <c r="E102" i="3"/>
  <c r="D101" i="3"/>
  <c r="E101" i="3"/>
  <c r="D100" i="3"/>
  <c r="E100" i="3"/>
  <c r="D99" i="3"/>
  <c r="N101" i="3" l="1"/>
  <c r="N103" i="3"/>
  <c r="N106" i="3"/>
  <c r="N100" i="3"/>
  <c r="N102" i="3"/>
  <c r="N104" i="3"/>
  <c r="N105" i="3"/>
  <c r="F105" i="3"/>
  <c r="G105" i="3" s="1"/>
  <c r="F101" i="3"/>
  <c r="G101" i="3" s="1"/>
  <c r="F103" i="3"/>
  <c r="G103" i="3" s="1"/>
  <c r="F100" i="3"/>
  <c r="G100" i="3" s="1"/>
  <c r="F102" i="3"/>
  <c r="G102" i="3" s="1"/>
  <c r="F104" i="3"/>
  <c r="G104" i="3" s="1"/>
  <c r="F106" i="3"/>
  <c r="G106" i="3" s="1"/>
  <c r="M100" i="3"/>
  <c r="M101" i="3"/>
  <c r="M102" i="3"/>
  <c r="M103" i="3"/>
  <c r="M104" i="3"/>
  <c r="M105" i="3"/>
  <c r="M106" i="3"/>
  <c r="E99" i="3"/>
  <c r="D98" i="3"/>
  <c r="E98" i="3"/>
  <c r="D97" i="3"/>
  <c r="M98" i="3" l="1"/>
  <c r="M99" i="3"/>
  <c r="F98" i="3"/>
  <c r="G98" i="3" s="1"/>
  <c r="F99" i="3"/>
  <c r="G99" i="3" s="1"/>
  <c r="E97" i="3"/>
  <c r="D96" i="3"/>
  <c r="E96" i="3"/>
  <c r="D95" i="3"/>
  <c r="E95" i="3"/>
  <c r="D94" i="3"/>
  <c r="E94" i="3"/>
  <c r="D93" i="3"/>
  <c r="E93" i="3"/>
  <c r="D92" i="3"/>
  <c r="E92" i="3"/>
  <c r="D91" i="3"/>
  <c r="E91" i="3"/>
  <c r="D90" i="3"/>
  <c r="E90" i="3"/>
  <c r="D89" i="3"/>
  <c r="E89" i="3"/>
  <c r="D88" i="3"/>
  <c r="E88" i="3"/>
  <c r="D87" i="3"/>
  <c r="E87" i="3"/>
  <c r="D86" i="3"/>
  <c r="E86" i="3"/>
  <c r="D85" i="3"/>
  <c r="E85" i="3"/>
  <c r="D84" i="3"/>
  <c r="E84" i="3"/>
  <c r="D83" i="3"/>
  <c r="E83" i="3"/>
  <c r="D82" i="3"/>
  <c r="E82" i="3"/>
  <c r="D81" i="3"/>
  <c r="E81" i="3"/>
  <c r="D80" i="3"/>
  <c r="E80" i="3"/>
  <c r="D79" i="3"/>
  <c r="E79" i="3"/>
  <c r="D78" i="3"/>
  <c r="E78" i="3"/>
  <c r="D77" i="3"/>
  <c r="E77" i="3"/>
  <c r="D76" i="3"/>
  <c r="E76" i="3"/>
  <c r="D75" i="3"/>
  <c r="E75" i="3"/>
  <c r="D74" i="3"/>
  <c r="E74" i="3"/>
  <c r="D73" i="3"/>
  <c r="E73" i="3"/>
  <c r="D72" i="3"/>
  <c r="E72" i="3"/>
  <c r="D71" i="3"/>
  <c r="E71" i="3"/>
  <c r="D70" i="3"/>
  <c r="E70" i="3"/>
  <c r="D69" i="3"/>
  <c r="E69" i="3"/>
  <c r="D68" i="3"/>
  <c r="E68" i="3"/>
  <c r="D67" i="3"/>
  <c r="E67" i="3"/>
  <c r="D66" i="3"/>
  <c r="E66" i="3"/>
  <c r="D65" i="3"/>
  <c r="E65" i="3"/>
  <c r="D64" i="3"/>
  <c r="E64" i="3"/>
  <c r="D63" i="3"/>
  <c r="E63" i="3"/>
  <c r="D62" i="3"/>
  <c r="E62" i="3"/>
  <c r="D61" i="3"/>
  <c r="E61" i="3"/>
  <c r="D60" i="3"/>
  <c r="E60" i="3"/>
  <c r="D59" i="3"/>
  <c r="E59" i="3"/>
  <c r="D58" i="3"/>
  <c r="E58" i="3"/>
  <c r="D57" i="3"/>
  <c r="E57" i="3"/>
  <c r="D56" i="3"/>
  <c r="E56" i="3"/>
  <c r="D55" i="3"/>
  <c r="E55" i="3"/>
  <c r="D54" i="3"/>
  <c r="E54" i="3"/>
  <c r="D53" i="3"/>
  <c r="E53" i="3"/>
  <c r="D52" i="3"/>
  <c r="E52" i="3"/>
  <c r="D51" i="3"/>
  <c r="E51" i="3"/>
  <c r="D50" i="3"/>
  <c r="E50" i="3"/>
  <c r="D49" i="3"/>
  <c r="E49" i="3"/>
  <c r="D48" i="3"/>
  <c r="E48" i="3"/>
  <c r="D47" i="3"/>
  <c r="E47" i="3"/>
  <c r="D46" i="3"/>
  <c r="E46" i="3"/>
  <c r="D45" i="3"/>
  <c r="F89" i="3" l="1"/>
  <c r="G89" i="3" s="1"/>
  <c r="N90" i="3"/>
  <c r="N91" i="3"/>
  <c r="N92" i="3"/>
  <c r="N93" i="3"/>
  <c r="F97" i="3"/>
  <c r="G97" i="3" s="1"/>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F73" i="3"/>
  <c r="G73" i="3" s="1"/>
  <c r="F57" i="3"/>
  <c r="G57" i="3" s="1"/>
  <c r="F81" i="3"/>
  <c r="G81" i="3" s="1"/>
  <c r="F49" i="3"/>
  <c r="G49" i="3" s="1"/>
  <c r="F65" i="3"/>
  <c r="G65" i="3" s="1"/>
  <c r="F53" i="3"/>
  <c r="G53" i="3" s="1"/>
  <c r="F61" i="3"/>
  <c r="G61" i="3" s="1"/>
  <c r="F69" i="3"/>
  <c r="G69" i="3" s="1"/>
  <c r="F77" i="3"/>
  <c r="G77" i="3" s="1"/>
  <c r="F85" i="3"/>
  <c r="G85" i="3" s="1"/>
  <c r="F93" i="3"/>
  <c r="G93" i="3" s="1"/>
  <c r="F47" i="3"/>
  <c r="G47" i="3" s="1"/>
  <c r="F51" i="3"/>
  <c r="G51" i="3" s="1"/>
  <c r="F55" i="3"/>
  <c r="G55" i="3" s="1"/>
  <c r="F59" i="3"/>
  <c r="G59" i="3" s="1"/>
  <c r="F63" i="3"/>
  <c r="G63" i="3" s="1"/>
  <c r="F67" i="3"/>
  <c r="G67" i="3" s="1"/>
  <c r="F71" i="3"/>
  <c r="G71" i="3" s="1"/>
  <c r="F75" i="3"/>
  <c r="G75" i="3" s="1"/>
  <c r="F79" i="3"/>
  <c r="G79" i="3" s="1"/>
  <c r="F83" i="3"/>
  <c r="G83" i="3" s="1"/>
  <c r="F87" i="3"/>
  <c r="G87" i="3" s="1"/>
  <c r="F91" i="3"/>
  <c r="G91" i="3" s="1"/>
  <c r="F95" i="3"/>
  <c r="G95" i="3" s="1"/>
  <c r="F46" i="3"/>
  <c r="G46" i="3" s="1"/>
  <c r="F48" i="3"/>
  <c r="G48" i="3" s="1"/>
  <c r="F50" i="3"/>
  <c r="G50" i="3" s="1"/>
  <c r="F52" i="3"/>
  <c r="G52" i="3" s="1"/>
  <c r="F54" i="3"/>
  <c r="G54" i="3" s="1"/>
  <c r="F56" i="3"/>
  <c r="G56" i="3" s="1"/>
  <c r="F58" i="3"/>
  <c r="G58" i="3" s="1"/>
  <c r="F60" i="3"/>
  <c r="G60" i="3" s="1"/>
  <c r="F62" i="3"/>
  <c r="G62" i="3" s="1"/>
  <c r="F64" i="3"/>
  <c r="G64" i="3" s="1"/>
  <c r="F66" i="3"/>
  <c r="G66" i="3" s="1"/>
  <c r="F68" i="3"/>
  <c r="G68" i="3" s="1"/>
  <c r="F70" i="3"/>
  <c r="G70" i="3" s="1"/>
  <c r="F72" i="3"/>
  <c r="G72" i="3" s="1"/>
  <c r="F74" i="3"/>
  <c r="G74" i="3" s="1"/>
  <c r="F76" i="3"/>
  <c r="G76" i="3" s="1"/>
  <c r="F78" i="3"/>
  <c r="G78" i="3" s="1"/>
  <c r="F80" i="3"/>
  <c r="G80" i="3" s="1"/>
  <c r="F82" i="3"/>
  <c r="G82" i="3" s="1"/>
  <c r="F84" i="3"/>
  <c r="G84" i="3" s="1"/>
  <c r="F86" i="3"/>
  <c r="G86" i="3" s="1"/>
  <c r="F88" i="3"/>
  <c r="G88" i="3" s="1"/>
  <c r="F90" i="3"/>
  <c r="G90" i="3" s="1"/>
  <c r="F92" i="3"/>
  <c r="G92" i="3" s="1"/>
  <c r="F94" i="3"/>
  <c r="G94" i="3" s="1"/>
  <c r="F96" i="3"/>
  <c r="G96" i="3" s="1"/>
  <c r="M97"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E45" i="3"/>
  <c r="D44" i="3"/>
  <c r="E44" i="3"/>
  <c r="D43" i="3"/>
  <c r="E43" i="3"/>
  <c r="D42" i="3"/>
  <c r="E42" i="3"/>
  <c r="D41" i="3"/>
  <c r="E41" i="3"/>
  <c r="D40" i="3"/>
  <c r="E40" i="3"/>
  <c r="D39" i="3"/>
  <c r="E39" i="3"/>
  <c r="D38" i="3"/>
  <c r="E38" i="3"/>
  <c r="D37" i="3"/>
  <c r="E37" i="3"/>
  <c r="D36" i="3"/>
  <c r="E36" i="3"/>
  <c r="D35" i="3"/>
  <c r="E35" i="3"/>
  <c r="D34" i="3"/>
  <c r="F36" i="3" l="1"/>
  <c r="G36" i="3" s="1"/>
  <c r="F38" i="3"/>
  <c r="G38" i="3" s="1"/>
  <c r="F40" i="3"/>
  <c r="G40" i="3" s="1"/>
  <c r="F42" i="3"/>
  <c r="G42" i="3" s="1"/>
  <c r="F35" i="3"/>
  <c r="G35" i="3" s="1"/>
  <c r="F37" i="3"/>
  <c r="G37" i="3" s="1"/>
  <c r="F39" i="3"/>
  <c r="G39" i="3" s="1"/>
  <c r="F41" i="3"/>
  <c r="G41" i="3" s="1"/>
  <c r="F43" i="3"/>
  <c r="G43" i="3" s="1"/>
  <c r="F44" i="3"/>
  <c r="G44" i="3" s="1"/>
  <c r="F45" i="3"/>
  <c r="G45" i="3" s="1"/>
  <c r="N35" i="3"/>
  <c r="N36" i="3"/>
  <c r="N37" i="3"/>
  <c r="N38" i="3"/>
  <c r="N39" i="3"/>
  <c r="N40" i="3"/>
  <c r="N41" i="3"/>
  <c r="N42" i="3"/>
  <c r="N43" i="3"/>
  <c r="N44" i="3"/>
  <c r="M45" i="3"/>
  <c r="N45" i="3"/>
  <c r="M35" i="3"/>
  <c r="M36" i="3"/>
  <c r="M37" i="3"/>
  <c r="M38" i="3"/>
  <c r="M39" i="3"/>
  <c r="M40" i="3"/>
  <c r="M41" i="3"/>
  <c r="M42" i="3"/>
  <c r="M43" i="3"/>
  <c r="M44" i="3"/>
  <c r="E34" i="3"/>
  <c r="D33" i="3"/>
  <c r="E33" i="3"/>
  <c r="D32" i="3"/>
  <c r="E32" i="3"/>
  <c r="D31" i="3"/>
  <c r="E31" i="3"/>
  <c r="D30" i="3"/>
  <c r="E30" i="3"/>
  <c r="D29" i="3"/>
  <c r="E29" i="3"/>
  <c r="D28" i="3"/>
  <c r="E28" i="3"/>
  <c r="D27" i="3"/>
  <c r="E27" i="3"/>
  <c r="D26" i="3"/>
  <c r="E26" i="3"/>
  <c r="D25" i="3"/>
  <c r="E25" i="3"/>
  <c r="D24" i="3"/>
  <c r="E24" i="3"/>
  <c r="D23" i="3"/>
  <c r="E23" i="3"/>
  <c r="D22" i="3"/>
  <c r="E22" i="3"/>
  <c r="D21" i="3"/>
  <c r="E21" i="3"/>
  <c r="D20" i="3"/>
  <c r="E20" i="3"/>
  <c r="D19" i="3"/>
  <c r="E19" i="3"/>
  <c r="D18" i="3"/>
  <c r="E18" i="3"/>
  <c r="E17" i="3"/>
  <c r="D16" i="3"/>
  <c r="E16" i="3"/>
  <c r="D15" i="3"/>
  <c r="E15" i="3"/>
  <c r="D14" i="3"/>
  <c r="E14" i="3"/>
  <c r="D13" i="3"/>
  <c r="E13" i="3"/>
  <c r="D12" i="3"/>
  <c r="E12" i="3"/>
  <c r="D11" i="3"/>
  <c r="E11" i="3"/>
  <c r="D10" i="3"/>
  <c r="E10" i="3"/>
  <c r="M12" i="3" l="1"/>
  <c r="N17" i="3"/>
  <c r="N9" i="3"/>
  <c r="F6" i="3"/>
  <c r="N12" i="3"/>
  <c r="N15" i="3"/>
  <c r="N11" i="3"/>
  <c r="N13" i="3"/>
  <c r="N14" i="3"/>
  <c r="N16" i="3"/>
  <c r="N18" i="3"/>
  <c r="N19" i="3"/>
  <c r="N20" i="3"/>
  <c r="N21" i="3"/>
  <c r="N22" i="3"/>
  <c r="N23" i="3"/>
  <c r="N24" i="3"/>
  <c r="N25" i="3"/>
  <c r="N26" i="3"/>
  <c r="N27" i="3"/>
  <c r="N28" i="3"/>
  <c r="N29" i="3"/>
  <c r="N30" i="3"/>
  <c r="N31" i="3"/>
  <c r="N32" i="3"/>
  <c r="N33" i="3"/>
  <c r="F34" i="3"/>
  <c r="G34" i="3" s="1"/>
  <c r="F9" i="3"/>
  <c r="G9" i="3" s="1"/>
  <c r="F11" i="3"/>
  <c r="G11" i="3" s="1"/>
  <c r="F12" i="3"/>
  <c r="G12" i="3" s="1"/>
  <c r="F13" i="3"/>
  <c r="G13" i="3" s="1"/>
  <c r="F14" i="3"/>
  <c r="G14" i="3" s="1"/>
  <c r="F15" i="3"/>
  <c r="G15" i="3" s="1"/>
  <c r="F16" i="3"/>
  <c r="G16" i="3" s="1"/>
  <c r="F17" i="3"/>
  <c r="G17" i="3" s="1"/>
  <c r="F18" i="3"/>
  <c r="G18" i="3" s="1"/>
  <c r="F19" i="3"/>
  <c r="G19" i="3" s="1"/>
  <c r="F20" i="3"/>
  <c r="G20" i="3" s="1"/>
  <c r="F21" i="3"/>
  <c r="G21" i="3" s="1"/>
  <c r="F22" i="3"/>
  <c r="G22" i="3" s="1"/>
  <c r="F23" i="3"/>
  <c r="G23" i="3" s="1"/>
  <c r="F24" i="3"/>
  <c r="G24" i="3" s="1"/>
  <c r="F25" i="3"/>
  <c r="G25" i="3" s="1"/>
  <c r="F26" i="3"/>
  <c r="G26" i="3" s="1"/>
  <c r="F27" i="3"/>
  <c r="G27" i="3" s="1"/>
  <c r="F28" i="3"/>
  <c r="G28" i="3" s="1"/>
  <c r="F29" i="3"/>
  <c r="G29" i="3" s="1"/>
  <c r="F30" i="3"/>
  <c r="G30" i="3" s="1"/>
  <c r="F31" i="3"/>
  <c r="G31" i="3" s="1"/>
  <c r="F32" i="3"/>
  <c r="G32" i="3" s="1"/>
  <c r="F33" i="3"/>
  <c r="G33" i="3" s="1"/>
  <c r="M9" i="3"/>
  <c r="M34" i="3"/>
  <c r="N34" i="3"/>
  <c r="N10" i="3"/>
  <c r="F10" i="3"/>
  <c r="G10" i="3" s="1"/>
  <c r="M10" i="3"/>
  <c r="M11" i="3"/>
  <c r="M13" i="3"/>
  <c r="M14" i="3"/>
  <c r="M15" i="3"/>
  <c r="M16" i="3"/>
  <c r="M17" i="3"/>
  <c r="M18" i="3"/>
  <c r="M19" i="3"/>
  <c r="M20" i="3"/>
  <c r="M21" i="3"/>
  <c r="M22" i="3"/>
  <c r="M23" i="3"/>
  <c r="M24" i="3"/>
  <c r="M25" i="3"/>
  <c r="M26" i="3"/>
  <c r="M27" i="3"/>
  <c r="M28" i="3"/>
  <c r="M29" i="3"/>
  <c r="M30" i="3"/>
  <c r="M31" i="3"/>
  <c r="M32" i="3"/>
  <c r="M33" i="3"/>
  <c r="R3" i="3" l="1"/>
  <c r="H6" i="3"/>
  <c r="R2" i="9" l="1"/>
  <c r="D6" i="3"/>
  <c r="F2" i="9" l="1"/>
  <c r="A6" i="3"/>
  <c r="J2" i="3"/>
  <c r="J9" i="8"/>
  <c r="H86" i="3"/>
  <c r="H45" i="3"/>
  <c r="H21" i="3"/>
  <c r="H78" i="3"/>
  <c r="H66" i="3"/>
  <c r="H48" i="3"/>
  <c r="H53" i="3"/>
  <c r="H57" i="3"/>
  <c r="H100" i="3"/>
  <c r="H9" i="3"/>
  <c r="H127" i="3"/>
  <c r="H71" i="3"/>
  <c r="H30" i="3"/>
  <c r="H22" i="3"/>
  <c r="H104" i="3"/>
  <c r="H82" i="3"/>
  <c r="H26" i="3"/>
  <c r="H47" i="3"/>
  <c r="H12" i="3"/>
  <c r="H33" i="3"/>
  <c r="H96" i="3"/>
  <c r="B6" i="3"/>
  <c r="H99" i="3"/>
  <c r="H55" i="3"/>
  <c r="H46" i="3"/>
  <c r="H65" i="3"/>
  <c r="H85" i="3"/>
  <c r="H38" i="3"/>
  <c r="H128" i="3"/>
  <c r="H31" i="3"/>
  <c r="H37" i="3"/>
  <c r="H88" i="3"/>
  <c r="H120" i="3"/>
  <c r="H90" i="3"/>
  <c r="H29" i="3"/>
  <c r="H89" i="3"/>
  <c r="H113" i="3"/>
  <c r="H44" i="3"/>
  <c r="H110" i="3"/>
  <c r="H51" i="3"/>
  <c r="H14" i="3"/>
  <c r="H74" i="3"/>
  <c r="H70" i="3"/>
  <c r="H109" i="3"/>
  <c r="H54" i="3"/>
  <c r="AD6" i="3" l="1"/>
  <c r="P2" i="9" s="1"/>
  <c r="N2" i="9"/>
  <c r="C6" i="3"/>
  <c r="I70" i="3"/>
  <c r="I37" i="3"/>
  <c r="I57" i="3"/>
  <c r="I88" i="3"/>
  <c r="I53" i="3"/>
  <c r="I46" i="3"/>
  <c r="I31" i="3"/>
  <c r="I71" i="3"/>
  <c r="I22" i="3"/>
  <c r="I45" i="3"/>
  <c r="I55" i="3"/>
  <c r="I109" i="3"/>
  <c r="I110" i="3"/>
  <c r="I99" i="3"/>
  <c r="I30" i="3"/>
  <c r="I47" i="3"/>
  <c r="I100" i="3"/>
  <c r="I21" i="3"/>
  <c r="I82" i="3"/>
  <c r="I44" i="3"/>
  <c r="I128" i="3"/>
  <c r="I65" i="3"/>
  <c r="I85" i="3"/>
  <c r="I38" i="3"/>
  <c r="I26" i="3"/>
  <c r="I86" i="3"/>
  <c r="I120" i="3"/>
  <c r="I9" i="3"/>
  <c r="I51" i="3"/>
  <c r="I29" i="3"/>
  <c r="I96" i="3"/>
  <c r="I14" i="3"/>
  <c r="I104" i="3"/>
  <c r="I90" i="3"/>
  <c r="I33" i="3"/>
  <c r="I127" i="3"/>
  <c r="I12" i="3"/>
  <c r="I66" i="3"/>
  <c r="I54" i="3"/>
  <c r="I78" i="3"/>
  <c r="I89" i="3"/>
  <c r="I48" i="3"/>
  <c r="I74" i="3"/>
  <c r="I113" i="3"/>
  <c r="AE6" i="3" l="1"/>
  <c r="B9" i="8"/>
  <c r="O2" i="9"/>
  <c r="N94" i="3"/>
  <c r="N96" i="3"/>
  <c r="N99" i="3"/>
  <c r="N98" i="3"/>
  <c r="N95" i="3"/>
  <c r="C9" i="8" l="1"/>
  <c r="Q2" i="9"/>
  <c r="N97" i="3"/>
  <c r="M6" i="3" s="1"/>
  <c r="H83" i="3"/>
  <c r="H80" i="3"/>
  <c r="H36" i="3"/>
  <c r="H126" i="3"/>
  <c r="H11" i="3"/>
  <c r="H40" i="3"/>
  <c r="H52" i="3"/>
  <c r="H62" i="3"/>
  <c r="H13" i="3"/>
  <c r="H23" i="3"/>
  <c r="H42" i="3"/>
  <c r="H68" i="3"/>
  <c r="H111" i="3"/>
  <c r="H124" i="3"/>
  <c r="H59" i="3"/>
  <c r="H93" i="3"/>
  <c r="H67" i="3"/>
  <c r="H87" i="3"/>
  <c r="H19" i="3"/>
  <c r="H107" i="3"/>
  <c r="H17" i="3"/>
  <c r="H50" i="3"/>
  <c r="H106" i="3"/>
  <c r="H15" i="3"/>
  <c r="H84" i="3"/>
  <c r="H72" i="3"/>
  <c r="H108" i="3"/>
  <c r="H118" i="3"/>
  <c r="H43" i="3"/>
  <c r="H132" i="3"/>
  <c r="H10" i="3"/>
  <c r="H103" i="3"/>
  <c r="H129" i="3"/>
  <c r="H58" i="3"/>
  <c r="H125" i="3"/>
  <c r="H35" i="3"/>
  <c r="H98" i="3"/>
  <c r="H20" i="3"/>
  <c r="H60" i="3"/>
  <c r="H25" i="3"/>
  <c r="H16" i="3"/>
  <c r="H32" i="3"/>
  <c r="H75" i="3"/>
  <c r="H112" i="3"/>
  <c r="H95" i="3"/>
  <c r="H101" i="3"/>
  <c r="H34" i="3"/>
  <c r="H76" i="3"/>
  <c r="H81" i="3"/>
  <c r="H91" i="3"/>
  <c r="H64" i="3"/>
  <c r="H114" i="3"/>
  <c r="H18" i="3"/>
  <c r="H102" i="3"/>
  <c r="H122" i="3"/>
  <c r="H73" i="3"/>
  <c r="H133" i="3"/>
  <c r="H92" i="3"/>
  <c r="H130" i="3"/>
  <c r="H28" i="3"/>
  <c r="H115" i="3"/>
  <c r="H24" i="3"/>
  <c r="H123" i="3"/>
  <c r="H121" i="3"/>
  <c r="H97" i="3"/>
  <c r="H119" i="3"/>
  <c r="H39" i="3"/>
  <c r="H56" i="3"/>
  <c r="H61" i="3"/>
  <c r="H77" i="3"/>
  <c r="H41" i="3"/>
  <c r="H79" i="3"/>
  <c r="H63" i="3"/>
  <c r="H105" i="3"/>
  <c r="H94" i="3"/>
  <c r="H27" i="3"/>
  <c r="H69" i="3"/>
  <c r="H131" i="3"/>
  <c r="H116" i="3"/>
  <c r="H49" i="3"/>
  <c r="H117" i="3"/>
  <c r="D81" i="15" l="1"/>
  <c r="D41" i="15"/>
  <c r="D48" i="15"/>
  <c r="D82" i="15"/>
  <c r="D58" i="15"/>
  <c r="D79" i="15"/>
  <c r="D24" i="15"/>
  <c r="D83" i="15"/>
  <c r="D89" i="15"/>
  <c r="D92" i="15"/>
  <c r="D102" i="15"/>
  <c r="D2" i="15"/>
  <c r="D44" i="15"/>
  <c r="D97" i="15"/>
  <c r="D120" i="15"/>
  <c r="D93" i="15"/>
  <c r="D64" i="15"/>
  <c r="D37" i="15"/>
  <c r="D15" i="15"/>
  <c r="D46" i="15"/>
  <c r="D75" i="15"/>
  <c r="D40" i="15"/>
  <c r="D22" i="15"/>
  <c r="D5" i="15"/>
  <c r="D14" i="15"/>
  <c r="D121" i="15"/>
  <c r="D50" i="15"/>
  <c r="D39" i="15"/>
  <c r="D113" i="15"/>
  <c r="D106" i="15"/>
  <c r="D103" i="15"/>
  <c r="D63" i="15"/>
  <c r="D38" i="15"/>
  <c r="D23" i="15"/>
  <c r="D31" i="15"/>
  <c r="D78" i="15"/>
  <c r="D26" i="15"/>
  <c r="D47" i="15"/>
  <c r="D30" i="15"/>
  <c r="D59" i="15"/>
  <c r="D7" i="15"/>
  <c r="D67" i="15"/>
  <c r="D19" i="15"/>
  <c r="D71" i="15"/>
  <c r="K9" i="3"/>
  <c r="K53" i="3"/>
  <c r="H9" i="8"/>
  <c r="K33" i="3"/>
  <c r="K71" i="3"/>
  <c r="K55" i="3"/>
  <c r="K29" i="3"/>
  <c r="K38" i="3"/>
  <c r="K54" i="3"/>
  <c r="K120" i="3"/>
  <c r="K127" i="3"/>
  <c r="K44" i="3"/>
  <c r="K66" i="3"/>
  <c r="K89" i="3"/>
  <c r="K100" i="3"/>
  <c r="K26" i="3"/>
  <c r="K128" i="3"/>
  <c r="K22" i="3"/>
  <c r="K74" i="3"/>
  <c r="K85" i="3"/>
  <c r="K78" i="3"/>
  <c r="K37" i="3"/>
  <c r="K109" i="3"/>
  <c r="K21" i="3"/>
  <c r="K14" i="3"/>
  <c r="K31" i="3"/>
  <c r="K86" i="3"/>
  <c r="K51" i="3"/>
  <c r="K46" i="3"/>
  <c r="K90" i="3"/>
  <c r="K12" i="3"/>
  <c r="K104" i="3"/>
  <c r="K65" i="3"/>
  <c r="K113" i="3"/>
  <c r="K30" i="3"/>
  <c r="K70" i="3"/>
  <c r="K110" i="3"/>
  <c r="K45" i="3"/>
  <c r="K96" i="3"/>
  <c r="K57" i="3"/>
  <c r="K99" i="3"/>
  <c r="K47" i="3"/>
  <c r="K88" i="3"/>
  <c r="K82" i="3"/>
  <c r="K48" i="3"/>
  <c r="V9" i="3"/>
  <c r="V71" i="3"/>
  <c r="V54" i="3"/>
  <c r="V66" i="3"/>
  <c r="V128" i="3"/>
  <c r="V78" i="3"/>
  <c r="V14" i="3"/>
  <c r="V46" i="3"/>
  <c r="V65" i="3"/>
  <c r="V110" i="3"/>
  <c r="V99" i="3"/>
  <c r="V48" i="3"/>
  <c r="V53" i="3"/>
  <c r="V55" i="3"/>
  <c r="V120" i="3"/>
  <c r="V89" i="3"/>
  <c r="V22" i="3"/>
  <c r="V37" i="3"/>
  <c r="V31" i="3"/>
  <c r="V90" i="3"/>
  <c r="V113" i="3"/>
  <c r="V45" i="3"/>
  <c r="V47" i="3"/>
  <c r="V29" i="3"/>
  <c r="V127" i="3"/>
  <c r="V100" i="3"/>
  <c r="V74" i="3"/>
  <c r="V109" i="3"/>
  <c r="V86" i="3"/>
  <c r="V12" i="3"/>
  <c r="V30" i="3"/>
  <c r="V96" i="3"/>
  <c r="V88" i="3"/>
  <c r="V33" i="3"/>
  <c r="V38" i="3"/>
  <c r="V44" i="3"/>
  <c r="V26" i="3"/>
  <c r="V85" i="3"/>
  <c r="V21" i="3"/>
  <c r="V51" i="3"/>
  <c r="V104" i="3"/>
  <c r="V70" i="3"/>
  <c r="V57" i="3"/>
  <c r="V82" i="3"/>
  <c r="I39" i="3"/>
  <c r="I15" i="3"/>
  <c r="I130" i="3"/>
  <c r="I108" i="3"/>
  <c r="I94" i="3"/>
  <c r="I40" i="3"/>
  <c r="I76" i="3"/>
  <c r="I111" i="3"/>
  <c r="I27" i="3"/>
  <c r="I72" i="3"/>
  <c r="I17" i="3"/>
  <c r="I91" i="3"/>
  <c r="I126" i="3"/>
  <c r="I56" i="3"/>
  <c r="I23" i="3"/>
  <c r="I124" i="3"/>
  <c r="I107" i="3"/>
  <c r="I115" i="3"/>
  <c r="I49" i="3"/>
  <c r="I101" i="3"/>
  <c r="I68" i="3"/>
  <c r="I92" i="3"/>
  <c r="I63" i="3"/>
  <c r="I116" i="3"/>
  <c r="I43" i="3"/>
  <c r="I105" i="3"/>
  <c r="I112" i="3"/>
  <c r="I79" i="3"/>
  <c r="I28" i="3"/>
  <c r="I13" i="3"/>
  <c r="I52" i="3"/>
  <c r="I114" i="3"/>
  <c r="I97" i="3"/>
  <c r="I103" i="3"/>
  <c r="I84" i="3"/>
  <c r="I132" i="3"/>
  <c r="I34" i="3"/>
  <c r="I87" i="3"/>
  <c r="I60" i="3"/>
  <c r="I119" i="3"/>
  <c r="I61" i="3"/>
  <c r="I64" i="3"/>
  <c r="I16" i="3"/>
  <c r="I95" i="3"/>
  <c r="I69" i="3"/>
  <c r="I106" i="3"/>
  <c r="I59" i="3"/>
  <c r="I35" i="3"/>
  <c r="I19" i="3"/>
  <c r="I32" i="3"/>
  <c r="I73" i="3"/>
  <c r="I24" i="3"/>
  <c r="I62" i="3"/>
  <c r="I83" i="3"/>
  <c r="I75" i="3"/>
  <c r="I50" i="3"/>
  <c r="I131" i="3"/>
  <c r="I58" i="3"/>
  <c r="I77" i="3"/>
  <c r="I25" i="3"/>
  <c r="I81" i="3"/>
  <c r="I93" i="3"/>
  <c r="I102" i="3"/>
  <c r="I129" i="3"/>
  <c r="I117" i="3"/>
  <c r="I80" i="3"/>
  <c r="I36" i="3"/>
  <c r="I11" i="3"/>
  <c r="I42" i="3"/>
  <c r="I118" i="3"/>
  <c r="I20" i="3"/>
  <c r="I98" i="3"/>
  <c r="I67" i="3"/>
  <c r="I10" i="3"/>
  <c r="I41" i="3"/>
  <c r="I123" i="3"/>
  <c r="I133" i="3"/>
  <c r="I121" i="3"/>
  <c r="I18" i="3"/>
  <c r="I125" i="3"/>
  <c r="I122" i="3"/>
  <c r="W9" i="3" l="1"/>
  <c r="AE82" i="3"/>
  <c r="J75" i="15" s="1"/>
  <c r="AE57" i="3"/>
  <c r="J50" i="15" s="1"/>
  <c r="AE70" i="3"/>
  <c r="J63" i="15" s="1"/>
  <c r="AE104" i="3"/>
  <c r="J97" i="15" s="1"/>
  <c r="AE51" i="3"/>
  <c r="J44" i="15" s="1"/>
  <c r="AE21" i="3"/>
  <c r="J14" i="15" s="1"/>
  <c r="AE85" i="3"/>
  <c r="J78" i="15" s="1"/>
  <c r="AE26" i="3"/>
  <c r="J19" i="15" s="1"/>
  <c r="AE44" i="3"/>
  <c r="J37" i="15" s="1"/>
  <c r="AE38" i="3"/>
  <c r="J31" i="15" s="1"/>
  <c r="AE33" i="3"/>
  <c r="J26" i="15" s="1"/>
  <c r="AE88" i="3"/>
  <c r="J81" i="15" s="1"/>
  <c r="AE96" i="3"/>
  <c r="J89" i="15" s="1"/>
  <c r="AE30" i="3"/>
  <c r="J23" i="15" s="1"/>
  <c r="AE12" i="3"/>
  <c r="J5" i="15" s="1"/>
  <c r="AE86" i="3"/>
  <c r="J79" i="15" s="1"/>
  <c r="AE109" i="3"/>
  <c r="J102" i="15" s="1"/>
  <c r="AE74" i="3"/>
  <c r="J67" i="15" s="1"/>
  <c r="AE100" i="3"/>
  <c r="J93" i="15" s="1"/>
  <c r="AE127" i="3"/>
  <c r="J120" i="15" s="1"/>
  <c r="AE29" i="3"/>
  <c r="J22" i="15" s="1"/>
  <c r="AE47" i="3"/>
  <c r="J40" i="15" s="1"/>
  <c r="AE45" i="3"/>
  <c r="J38" i="15" s="1"/>
  <c r="AE113" i="3"/>
  <c r="J106" i="15" s="1"/>
  <c r="AE90" i="3"/>
  <c r="J83" i="15" s="1"/>
  <c r="AE31" i="3"/>
  <c r="J24" i="15" s="1"/>
  <c r="AE37" i="3"/>
  <c r="J30" i="15" s="1"/>
  <c r="AE22" i="3"/>
  <c r="J15" i="15" s="1"/>
  <c r="AE89" i="3"/>
  <c r="J82" i="15" s="1"/>
  <c r="AE120" i="3"/>
  <c r="J113" i="15" s="1"/>
  <c r="AE55" i="3"/>
  <c r="J48" i="15" s="1"/>
  <c r="AE53" i="3"/>
  <c r="J46" i="15" s="1"/>
  <c r="AE48" i="3"/>
  <c r="J41" i="15" s="1"/>
  <c r="AE99" i="3"/>
  <c r="J92" i="15" s="1"/>
  <c r="AE110" i="3"/>
  <c r="J103" i="15" s="1"/>
  <c r="AE65" i="3"/>
  <c r="J58" i="15" s="1"/>
  <c r="AE46" i="3"/>
  <c r="J39" i="15" s="1"/>
  <c r="AE14" i="3"/>
  <c r="J7" i="15" s="1"/>
  <c r="AE78" i="3"/>
  <c r="J71" i="15" s="1"/>
  <c r="AE128" i="3"/>
  <c r="J121" i="15" s="1"/>
  <c r="AE66" i="3"/>
  <c r="J59" i="15" s="1"/>
  <c r="AE54" i="3"/>
  <c r="J47" i="15" s="1"/>
  <c r="AE71" i="3"/>
  <c r="J64" i="15" s="1"/>
  <c r="AE9" i="3"/>
  <c r="J2" i="15" s="1"/>
  <c r="K118" i="3"/>
  <c r="D111" i="15"/>
  <c r="D118" i="15"/>
  <c r="K125" i="3"/>
  <c r="K124" i="3"/>
  <c r="D117" i="15"/>
  <c r="D42" i="15"/>
  <c r="K49" i="3"/>
  <c r="D73" i="15"/>
  <c r="K80" i="3"/>
  <c r="K40" i="3"/>
  <c r="D33" i="15"/>
  <c r="D8" i="15"/>
  <c r="K15" i="3"/>
  <c r="D99" i="15"/>
  <c r="K106" i="3"/>
  <c r="D25" i="15"/>
  <c r="K32" i="3"/>
  <c r="D68" i="15"/>
  <c r="K75" i="3"/>
  <c r="K102" i="3"/>
  <c r="D95" i="15"/>
  <c r="K27" i="3"/>
  <c r="D20" i="15"/>
  <c r="D10" i="15"/>
  <c r="K17" i="3"/>
  <c r="K52" i="3"/>
  <c r="D45" i="15"/>
  <c r="K114" i="3"/>
  <c r="D107" i="15"/>
  <c r="D21" i="15"/>
  <c r="K28" i="3"/>
  <c r="K121" i="3"/>
  <c r="D114" i="15"/>
  <c r="K132" i="3"/>
  <c r="D125" i="15"/>
  <c r="K19" i="3"/>
  <c r="D12" i="15"/>
  <c r="K84" i="3"/>
  <c r="D77" i="15"/>
  <c r="D72" i="15"/>
  <c r="K79" i="3"/>
  <c r="D55" i="15"/>
  <c r="K62" i="3"/>
  <c r="K119" i="3"/>
  <c r="D112" i="15"/>
  <c r="D32" i="15"/>
  <c r="K39" i="3"/>
  <c r="K18" i="3"/>
  <c r="D11" i="15"/>
  <c r="D110" i="15"/>
  <c r="K117" i="3"/>
  <c r="D96" i="15"/>
  <c r="K103" i="3"/>
  <c r="D104" i="15"/>
  <c r="K111" i="3"/>
  <c r="D76" i="15"/>
  <c r="K83" i="3"/>
  <c r="K64" i="3"/>
  <c r="D57" i="15"/>
  <c r="D98" i="15"/>
  <c r="K105" i="3"/>
  <c r="K101" i="3"/>
  <c r="D94" i="15"/>
  <c r="D9" i="15"/>
  <c r="K16" i="3"/>
  <c r="D36" i="15"/>
  <c r="K43" i="3"/>
  <c r="K108" i="3"/>
  <c r="D101" i="15"/>
  <c r="D69" i="15"/>
  <c r="K76" i="3"/>
  <c r="K72" i="3"/>
  <c r="D65" i="15"/>
  <c r="K50" i="3"/>
  <c r="L52" i="3" s="1"/>
  <c r="D43" i="15"/>
  <c r="D29" i="15"/>
  <c r="K36" i="3"/>
  <c r="K24" i="3"/>
  <c r="D17" i="15"/>
  <c r="K131" i="3"/>
  <c r="D124" i="15"/>
  <c r="D6" i="15"/>
  <c r="K13" i="3"/>
  <c r="K122" i="3"/>
  <c r="D115" i="15"/>
  <c r="K73" i="3"/>
  <c r="D66" i="15"/>
  <c r="D34" i="15"/>
  <c r="K41" i="3"/>
  <c r="D116" i="15"/>
  <c r="K123" i="3"/>
  <c r="D119" i="15"/>
  <c r="K126" i="3"/>
  <c r="D52" i="15"/>
  <c r="K59" i="3"/>
  <c r="K93" i="3"/>
  <c r="D86" i="15"/>
  <c r="D53" i="15"/>
  <c r="K60" i="3"/>
  <c r="K23" i="3"/>
  <c r="D16" i="15"/>
  <c r="K95" i="3"/>
  <c r="D88" i="15"/>
  <c r="D126" i="15"/>
  <c r="K133" i="3"/>
  <c r="D84" i="15"/>
  <c r="K91" i="3"/>
  <c r="D56" i="15"/>
  <c r="K63" i="3"/>
  <c r="K129" i="3"/>
  <c r="D122" i="15"/>
  <c r="D90" i="15"/>
  <c r="K97" i="3"/>
  <c r="K77" i="3"/>
  <c r="D70" i="15"/>
  <c r="D28" i="15"/>
  <c r="K35" i="3"/>
  <c r="K98" i="3"/>
  <c r="D91" i="15"/>
  <c r="K25" i="3"/>
  <c r="D18" i="15"/>
  <c r="D80" i="15"/>
  <c r="K87" i="3"/>
  <c r="K61" i="3"/>
  <c r="D54" i="15"/>
  <c r="K116" i="3"/>
  <c r="D109" i="15"/>
  <c r="I6" i="3"/>
  <c r="F9" i="8" s="1"/>
  <c r="D61" i="15"/>
  <c r="K68" i="3"/>
  <c r="D62" i="15"/>
  <c r="K69" i="3"/>
  <c r="D35" i="15"/>
  <c r="K42" i="3"/>
  <c r="D3" i="15"/>
  <c r="J6" i="3"/>
  <c r="K6" i="3" s="1"/>
  <c r="K10" i="3"/>
  <c r="D105" i="15"/>
  <c r="K112" i="3"/>
  <c r="D4" i="15"/>
  <c r="K11" i="3"/>
  <c r="D13" i="15"/>
  <c r="K20" i="3"/>
  <c r="D87" i="15"/>
  <c r="K94" i="3"/>
  <c r="D27" i="15"/>
  <c r="K34" i="3"/>
  <c r="D123" i="15"/>
  <c r="K130" i="3"/>
  <c r="D51" i="15"/>
  <c r="K58" i="3"/>
  <c r="D85" i="15"/>
  <c r="K92" i="3"/>
  <c r="D100" i="15"/>
  <c r="K107" i="3"/>
  <c r="D108" i="15"/>
  <c r="K115" i="3"/>
  <c r="D74" i="15"/>
  <c r="K81" i="3"/>
  <c r="D49" i="15"/>
  <c r="K56" i="3"/>
  <c r="D60" i="15"/>
  <c r="K67" i="3"/>
  <c r="L46" i="3"/>
  <c r="J6" i="8"/>
  <c r="I6" i="8"/>
  <c r="V118" i="3"/>
  <c r="V124" i="3"/>
  <c r="V102" i="3"/>
  <c r="V114" i="3"/>
  <c r="V121" i="3"/>
  <c r="V19" i="3"/>
  <c r="V119" i="3"/>
  <c r="V18" i="3"/>
  <c r="V108" i="3"/>
  <c r="V72" i="3"/>
  <c r="V131" i="3"/>
  <c r="V122" i="3"/>
  <c r="V93" i="3"/>
  <c r="V23" i="3"/>
  <c r="V25" i="3"/>
  <c r="V61" i="3"/>
  <c r="V69" i="3"/>
  <c r="V34" i="3"/>
  <c r="V58" i="3"/>
  <c r="V107" i="3"/>
  <c r="V81" i="3"/>
  <c r="V67" i="3"/>
  <c r="V15" i="3"/>
  <c r="V79" i="3"/>
  <c r="V83" i="3"/>
  <c r="V16" i="3"/>
  <c r="V36" i="3"/>
  <c r="V126" i="3"/>
  <c r="V133" i="3"/>
  <c r="V97" i="3"/>
  <c r="V10" i="3"/>
  <c r="V40" i="3"/>
  <c r="V27" i="3"/>
  <c r="V52" i="3"/>
  <c r="V132" i="3"/>
  <c r="V84" i="3"/>
  <c r="V64" i="3"/>
  <c r="V101" i="3"/>
  <c r="V50" i="3"/>
  <c r="V24" i="3"/>
  <c r="V73" i="3"/>
  <c r="V95" i="3"/>
  <c r="V129" i="3"/>
  <c r="V77" i="3"/>
  <c r="V98" i="3"/>
  <c r="V116" i="3"/>
  <c r="V68" i="3"/>
  <c r="V42" i="3"/>
  <c r="V94" i="3"/>
  <c r="V130" i="3"/>
  <c r="V92" i="3"/>
  <c r="V115" i="3"/>
  <c r="V56" i="3"/>
  <c r="V125" i="3"/>
  <c r="V49" i="3"/>
  <c r="V106" i="3"/>
  <c r="V75" i="3"/>
  <c r="V28" i="3"/>
  <c r="V62" i="3"/>
  <c r="V39" i="3"/>
  <c r="V117" i="3"/>
  <c r="V111" i="3"/>
  <c r="V43" i="3"/>
  <c r="V76" i="3"/>
  <c r="V13" i="3"/>
  <c r="V123" i="3"/>
  <c r="V59" i="3"/>
  <c r="V60" i="3"/>
  <c r="V91" i="3"/>
  <c r="V87" i="3"/>
  <c r="V112" i="3"/>
  <c r="V20" i="3"/>
  <c r="V80" i="3"/>
  <c r="V32" i="3"/>
  <c r="V17" i="3"/>
  <c r="V103" i="3"/>
  <c r="V105" i="3"/>
  <c r="V41" i="3"/>
  <c r="V63" i="3"/>
  <c r="V35" i="3"/>
  <c r="V11" i="3"/>
  <c r="Y133" i="3" l="1"/>
  <c r="I126" i="15" s="1"/>
  <c r="W11" i="3"/>
  <c r="W10" i="3"/>
  <c r="L120" i="3"/>
  <c r="L25" i="3"/>
  <c r="AE35" i="3"/>
  <c r="J28" i="15" s="1"/>
  <c r="AE63" i="3"/>
  <c r="J56" i="15" s="1"/>
  <c r="AE41" i="3"/>
  <c r="J34" i="15" s="1"/>
  <c r="AE105" i="3"/>
  <c r="J98" i="15" s="1"/>
  <c r="AE103" i="3"/>
  <c r="J96" i="15" s="1"/>
  <c r="AE17" i="3"/>
  <c r="J10" i="15" s="1"/>
  <c r="AE32" i="3"/>
  <c r="J25" i="15" s="1"/>
  <c r="AE80" i="3"/>
  <c r="J73" i="15" s="1"/>
  <c r="AE87" i="3"/>
  <c r="J80" i="15" s="1"/>
  <c r="AE91" i="3"/>
  <c r="J84" i="15" s="1"/>
  <c r="AE60" i="3"/>
  <c r="J53" i="15" s="1"/>
  <c r="AE59" i="3"/>
  <c r="J52" i="15" s="1"/>
  <c r="AE123" i="3"/>
  <c r="J116" i="15" s="1"/>
  <c r="AE13" i="3"/>
  <c r="J6" i="15" s="1"/>
  <c r="AE76" i="3"/>
  <c r="J69" i="15" s="1"/>
  <c r="AE43" i="3"/>
  <c r="J36" i="15" s="1"/>
  <c r="AE111" i="3"/>
  <c r="J104" i="15" s="1"/>
  <c r="AE117" i="3"/>
  <c r="J110" i="15" s="1"/>
  <c r="AE39" i="3"/>
  <c r="J32" i="15" s="1"/>
  <c r="AE62" i="3"/>
  <c r="J55" i="15" s="1"/>
  <c r="AE28" i="3"/>
  <c r="J21" i="15" s="1"/>
  <c r="AE75" i="3"/>
  <c r="J68" i="15" s="1"/>
  <c r="AE106" i="3"/>
  <c r="J99" i="15" s="1"/>
  <c r="AE49" i="3"/>
  <c r="J42" i="15" s="1"/>
  <c r="AE125" i="3"/>
  <c r="J118" i="15" s="1"/>
  <c r="L29" i="3"/>
  <c r="L47" i="3"/>
  <c r="AE68" i="3"/>
  <c r="J61" i="15" s="1"/>
  <c r="AE116" i="3"/>
  <c r="J109" i="15" s="1"/>
  <c r="AE98" i="3"/>
  <c r="J91" i="15" s="1"/>
  <c r="AE77" i="3"/>
  <c r="J70" i="15" s="1"/>
  <c r="AE129" i="3"/>
  <c r="J122" i="15" s="1"/>
  <c r="AE95" i="3"/>
  <c r="J88" i="15" s="1"/>
  <c r="AE73" i="3"/>
  <c r="J66" i="15" s="1"/>
  <c r="AE24" i="3"/>
  <c r="J17" i="15" s="1"/>
  <c r="AE50" i="3"/>
  <c r="J43" i="15" s="1"/>
  <c r="AE101" i="3"/>
  <c r="J94" i="15" s="1"/>
  <c r="AE64" i="3"/>
  <c r="J57" i="15" s="1"/>
  <c r="AE84" i="3"/>
  <c r="J77" i="15" s="1"/>
  <c r="AE132" i="3"/>
  <c r="J125" i="15" s="1"/>
  <c r="AE52" i="3"/>
  <c r="J45" i="15" s="1"/>
  <c r="AE27" i="3"/>
  <c r="J20" i="15" s="1"/>
  <c r="AE40" i="3"/>
  <c r="J33" i="15" s="1"/>
  <c r="AE10" i="3"/>
  <c r="J3" i="15" s="1"/>
  <c r="AE97" i="3"/>
  <c r="J90" i="15" s="1"/>
  <c r="AE133" i="3"/>
  <c r="J126" i="15" s="1"/>
  <c r="AE126" i="3"/>
  <c r="J119" i="15" s="1"/>
  <c r="AE36" i="3"/>
  <c r="J29" i="15" s="1"/>
  <c r="AE16" i="3"/>
  <c r="J9" i="15" s="1"/>
  <c r="AE83" i="3"/>
  <c r="J76" i="15" s="1"/>
  <c r="AE79" i="3"/>
  <c r="J72" i="15" s="1"/>
  <c r="AE15" i="3"/>
  <c r="J8" i="15" s="1"/>
  <c r="AE58" i="3"/>
  <c r="J51" i="15" s="1"/>
  <c r="AE61" i="3"/>
  <c r="J54" i="15" s="1"/>
  <c r="AE25" i="3"/>
  <c r="J18" i="15" s="1"/>
  <c r="AE23" i="3"/>
  <c r="J16" i="15" s="1"/>
  <c r="AE93" i="3"/>
  <c r="J86" i="15" s="1"/>
  <c r="AE122" i="3"/>
  <c r="J115" i="15" s="1"/>
  <c r="AE131" i="3"/>
  <c r="J124" i="15" s="1"/>
  <c r="AE72" i="3"/>
  <c r="J65" i="15" s="1"/>
  <c r="AE108" i="3"/>
  <c r="J101" i="15" s="1"/>
  <c r="AE18" i="3"/>
  <c r="J11" i="15" s="1"/>
  <c r="AE119" i="3"/>
  <c r="J112" i="15" s="1"/>
  <c r="AE19" i="3"/>
  <c r="J12" i="15" s="1"/>
  <c r="AE121" i="3"/>
  <c r="J114" i="15" s="1"/>
  <c r="AE114" i="3"/>
  <c r="J107" i="15" s="1"/>
  <c r="AE102" i="3"/>
  <c r="J95" i="15" s="1"/>
  <c r="AE124" i="3"/>
  <c r="J117" i="15" s="1"/>
  <c r="AE118" i="3"/>
  <c r="J111" i="15" s="1"/>
  <c r="L23" i="3"/>
  <c r="L72" i="3"/>
  <c r="L73" i="3"/>
  <c r="L100" i="3"/>
  <c r="L118" i="3"/>
  <c r="L24" i="3"/>
  <c r="L28" i="3"/>
  <c r="L51" i="3"/>
  <c r="L22" i="3"/>
  <c r="L45" i="3"/>
  <c r="L87" i="3"/>
  <c r="L26" i="3"/>
  <c r="L39" i="3"/>
  <c r="L121" i="3"/>
  <c r="L50" i="3"/>
  <c r="L74" i="3"/>
  <c r="L119" i="3"/>
  <c r="L75" i="3"/>
  <c r="L53" i="3"/>
  <c r="L86" i="3"/>
  <c r="L123" i="3"/>
  <c r="L122" i="3"/>
  <c r="L49" i="3"/>
  <c r="L101" i="3"/>
  <c r="L88" i="3"/>
  <c r="L77" i="3"/>
  <c r="L27" i="3"/>
  <c r="L76" i="3"/>
  <c r="L89" i="3"/>
  <c r="L48" i="3"/>
  <c r="L61" i="3"/>
  <c r="L63" i="3"/>
  <c r="L30" i="3"/>
  <c r="L102" i="3"/>
  <c r="L126" i="3"/>
  <c r="L124" i="3"/>
  <c r="L103" i="3"/>
  <c r="L98" i="3"/>
  <c r="L97" i="3"/>
  <c r="L31" i="3"/>
  <c r="L38" i="3"/>
  <c r="L125" i="3"/>
  <c r="L64" i="3"/>
  <c r="L14" i="3"/>
  <c r="L99" i="3"/>
  <c r="L104" i="3"/>
  <c r="L16" i="3"/>
  <c r="L127" i="3"/>
  <c r="L62" i="3"/>
  <c r="L37" i="3"/>
  <c r="L78" i="3"/>
  <c r="L15" i="3"/>
  <c r="L17" i="3"/>
  <c r="L84" i="3"/>
  <c r="L85" i="3"/>
  <c r="L111" i="3"/>
  <c r="AE112" i="3"/>
  <c r="J105" i="15" s="1"/>
  <c r="L54" i="3"/>
  <c r="AE56" i="3"/>
  <c r="J49" i="15" s="1"/>
  <c r="L115" i="3"/>
  <c r="AE115" i="3"/>
  <c r="J108" i="15" s="1"/>
  <c r="L94" i="3"/>
  <c r="AE92" i="3"/>
  <c r="J85" i="15" s="1"/>
  <c r="L131" i="3"/>
  <c r="AE130" i="3"/>
  <c r="J123" i="15" s="1"/>
  <c r="L96" i="3"/>
  <c r="AE94" i="3"/>
  <c r="J87" i="15" s="1"/>
  <c r="L42" i="3"/>
  <c r="AE42" i="3"/>
  <c r="J35" i="15" s="1"/>
  <c r="L21" i="3"/>
  <c r="AE20" i="3"/>
  <c r="J13" i="15" s="1"/>
  <c r="L13" i="3"/>
  <c r="AE11" i="3"/>
  <c r="J4" i="15" s="1"/>
  <c r="L66" i="3"/>
  <c r="AE67" i="3"/>
  <c r="J60" i="15" s="1"/>
  <c r="L81" i="3"/>
  <c r="AE81" i="3"/>
  <c r="J74" i="15" s="1"/>
  <c r="L105" i="3"/>
  <c r="AE107" i="3"/>
  <c r="J100" i="15" s="1"/>
  <c r="L33" i="3"/>
  <c r="AE34" i="3"/>
  <c r="J27" i="15" s="1"/>
  <c r="L71" i="3"/>
  <c r="AE69" i="3"/>
  <c r="J62" i="15" s="1"/>
  <c r="L56" i="3"/>
  <c r="L91" i="3"/>
  <c r="L130" i="3"/>
  <c r="L18" i="3"/>
  <c r="L110" i="3"/>
  <c r="L19" i="3"/>
  <c r="L129" i="3"/>
  <c r="L116" i="3"/>
  <c r="J95" i="3"/>
  <c r="L108" i="3"/>
  <c r="J92" i="3"/>
  <c r="J28" i="3"/>
  <c r="L128" i="3"/>
  <c r="L40" i="3"/>
  <c r="L93" i="3"/>
  <c r="J31" i="3"/>
  <c r="L92" i="3"/>
  <c r="L43" i="3"/>
  <c r="L80" i="3"/>
  <c r="J37" i="3"/>
  <c r="J51" i="3"/>
  <c r="J115" i="3"/>
  <c r="L83" i="3"/>
  <c r="L6" i="3"/>
  <c r="J60" i="3"/>
  <c r="J129" i="3"/>
  <c r="J63" i="3"/>
  <c r="J132" i="3"/>
  <c r="L20" i="3"/>
  <c r="L59" i="3"/>
  <c r="L82" i="3"/>
  <c r="L112" i="3"/>
  <c r="L57" i="3"/>
  <c r="L114" i="3"/>
  <c r="J110" i="3"/>
  <c r="J17" i="3"/>
  <c r="J76" i="3"/>
  <c r="J11" i="3"/>
  <c r="J79" i="3"/>
  <c r="L70" i="3"/>
  <c r="L55" i="3"/>
  <c r="J14" i="3"/>
  <c r="J30" i="3"/>
  <c r="J50" i="3"/>
  <c r="J62" i="3"/>
  <c r="J78" i="3"/>
  <c r="J94" i="3"/>
  <c r="J112" i="3"/>
  <c r="J131" i="3"/>
  <c r="J16" i="3"/>
  <c r="J33" i="3"/>
  <c r="J53" i="3"/>
  <c r="J65" i="3"/>
  <c r="J81" i="3"/>
  <c r="J97" i="3"/>
  <c r="J118" i="3"/>
  <c r="J109" i="3"/>
  <c r="L60" i="3"/>
  <c r="L90" i="3"/>
  <c r="L113" i="3"/>
  <c r="L117" i="3"/>
  <c r="L95" i="3"/>
  <c r="L36" i="3"/>
  <c r="L41" i="3"/>
  <c r="L44" i="3"/>
  <c r="Y132" i="3"/>
  <c r="I125" i="15" s="1"/>
  <c r="J20" i="3"/>
  <c r="J40" i="3"/>
  <c r="J57" i="3"/>
  <c r="J68" i="3"/>
  <c r="J84" i="3"/>
  <c r="J101" i="3"/>
  <c r="J121" i="3"/>
  <c r="J116" i="3"/>
  <c r="J23" i="3"/>
  <c r="J43" i="3"/>
  <c r="J48" i="3"/>
  <c r="J71" i="3"/>
  <c r="J87" i="3"/>
  <c r="J106" i="3"/>
  <c r="J124" i="3"/>
  <c r="J9" i="3"/>
  <c r="L65" i="3"/>
  <c r="L34" i="3"/>
  <c r="L68" i="3"/>
  <c r="L79" i="3"/>
  <c r="J22" i="3"/>
  <c r="J42" i="3"/>
  <c r="J47" i="3"/>
  <c r="J70" i="3"/>
  <c r="J86" i="3"/>
  <c r="J105" i="3"/>
  <c r="J123" i="3"/>
  <c r="J15" i="3"/>
  <c r="J25" i="3"/>
  <c r="J45" i="3"/>
  <c r="J56" i="3"/>
  <c r="J73" i="3"/>
  <c r="J89" i="3"/>
  <c r="J103" i="3"/>
  <c r="J126" i="3"/>
  <c r="L107" i="3"/>
  <c r="L106" i="3"/>
  <c r="L35" i="3"/>
  <c r="G9" i="8"/>
  <c r="L11" i="3"/>
  <c r="J24" i="3"/>
  <c r="J52" i="3"/>
  <c r="J72" i="3"/>
  <c r="J96" i="3"/>
  <c r="J125" i="3"/>
  <c r="J19" i="3"/>
  <c r="J36" i="3"/>
  <c r="J83" i="3"/>
  <c r="L109" i="3"/>
  <c r="L58" i="3"/>
  <c r="L69" i="3"/>
  <c r="L12" i="3"/>
  <c r="T2" i="9"/>
  <c r="Y9" i="3"/>
  <c r="I2" i="15" s="1"/>
  <c r="Y10" i="3"/>
  <c r="I3" i="15" s="1"/>
  <c r="J12" i="3"/>
  <c r="J32" i="3"/>
  <c r="J44" i="3"/>
  <c r="J49" i="3"/>
  <c r="J64" i="3"/>
  <c r="J80" i="3"/>
  <c r="J88" i="3"/>
  <c r="J100" i="3"/>
  <c r="J117" i="3"/>
  <c r="J107" i="3"/>
  <c r="J10" i="3"/>
  <c r="J27" i="3"/>
  <c r="J39" i="3"/>
  <c r="J55" i="3"/>
  <c r="J59" i="3"/>
  <c r="J67" i="3"/>
  <c r="J75" i="3"/>
  <c r="J91" i="3"/>
  <c r="J99" i="3"/>
  <c r="J108" i="3"/>
  <c r="J120" i="3"/>
  <c r="J128" i="3"/>
  <c r="J114" i="3"/>
  <c r="J18" i="3"/>
  <c r="J26" i="3"/>
  <c r="J34" i="3"/>
  <c r="J35" i="3"/>
  <c r="J54" i="3"/>
  <c r="J58" i="3"/>
  <c r="J66" i="3"/>
  <c r="J74" i="3"/>
  <c r="J82" i="3"/>
  <c r="J90" i="3"/>
  <c r="J98" i="3"/>
  <c r="J104" i="3"/>
  <c r="J119" i="3"/>
  <c r="J127" i="3"/>
  <c r="J113" i="3"/>
  <c r="J13" i="3"/>
  <c r="J21" i="3"/>
  <c r="J29" i="3"/>
  <c r="J41" i="3"/>
  <c r="J38" i="3"/>
  <c r="J46" i="3"/>
  <c r="J61" i="3"/>
  <c r="J69" i="3"/>
  <c r="J77" i="3"/>
  <c r="J85" i="3"/>
  <c r="J93" i="3"/>
  <c r="J102" i="3"/>
  <c r="J111" i="3"/>
  <c r="J122" i="3"/>
  <c r="J130" i="3"/>
  <c r="J133" i="3"/>
  <c r="L32" i="3"/>
  <c r="L67" i="3"/>
  <c r="R2" i="3"/>
  <c r="P84" i="3"/>
  <c r="P48" i="3"/>
  <c r="P54" i="3"/>
  <c r="P91" i="3"/>
  <c r="P83" i="3"/>
  <c r="P99" i="3"/>
  <c r="P101" i="3"/>
  <c r="P38" i="3"/>
  <c r="P130" i="3"/>
  <c r="P31" i="3"/>
  <c r="P22" i="3"/>
  <c r="P47" i="3"/>
  <c r="P116" i="3"/>
  <c r="P120" i="3"/>
  <c r="S120" i="3"/>
  <c r="P114" i="3"/>
  <c r="P67" i="3"/>
  <c r="P51" i="3"/>
  <c r="P56" i="3"/>
  <c r="P107" i="3"/>
  <c r="P69" i="3"/>
  <c r="P32" i="3"/>
  <c r="P20" i="3"/>
  <c r="P93" i="3"/>
  <c r="P11" i="3"/>
  <c r="P100" i="3"/>
  <c r="P117" i="3"/>
  <c r="P42" i="3"/>
  <c r="P121" i="3"/>
  <c r="P12" i="3"/>
  <c r="P13" i="3"/>
  <c r="P28" i="3"/>
  <c r="P79" i="3"/>
  <c r="P63" i="3"/>
  <c r="P59" i="3"/>
  <c r="P128" i="3"/>
  <c r="P112" i="3"/>
  <c r="P123" i="3"/>
  <c r="P29" i="3"/>
  <c r="P76" i="3"/>
  <c r="P87" i="3"/>
  <c r="P126" i="3"/>
  <c r="P35" i="3"/>
  <c r="P50" i="3"/>
  <c r="P74" i="3"/>
  <c r="P72" i="3"/>
  <c r="P58" i="3"/>
  <c r="P105" i="3"/>
  <c r="P95" i="3"/>
  <c r="P115" i="3"/>
  <c r="P16" i="3"/>
  <c r="P71" i="3"/>
  <c r="P104" i="3"/>
  <c r="P26" i="3"/>
  <c r="P45" i="3"/>
  <c r="E113" i="15" l="1"/>
  <c r="E40" i="15"/>
  <c r="E22" i="15"/>
  <c r="E44" i="15"/>
  <c r="E93" i="15"/>
  <c r="E21" i="15"/>
  <c r="E65" i="15"/>
  <c r="E15" i="15"/>
  <c r="E116" i="15"/>
  <c r="E67" i="15"/>
  <c r="E19" i="15"/>
  <c r="E43" i="15"/>
  <c r="E80" i="15"/>
  <c r="E114" i="15"/>
  <c r="E38" i="15"/>
  <c r="E119" i="15"/>
  <c r="E41" i="15"/>
  <c r="E56" i="15"/>
  <c r="E69" i="15"/>
  <c r="E94" i="15"/>
  <c r="E92" i="15"/>
  <c r="E31" i="15"/>
  <c r="E24" i="15"/>
  <c r="E9" i="15"/>
  <c r="E97" i="15"/>
  <c r="E64" i="15"/>
  <c r="E98" i="15"/>
  <c r="E47" i="15"/>
  <c r="E35" i="15"/>
  <c r="E108" i="15"/>
  <c r="E49" i="15"/>
  <c r="E123" i="15"/>
  <c r="E84" i="15"/>
  <c r="E109" i="15"/>
  <c r="E121" i="15"/>
  <c r="E86" i="15"/>
  <c r="E76" i="15"/>
  <c r="E107" i="15"/>
  <c r="E52" i="15"/>
  <c r="E13" i="15"/>
  <c r="E105" i="15"/>
  <c r="Y11" i="3"/>
  <c r="E4" i="15"/>
  <c r="E72" i="15"/>
  <c r="E28" i="15"/>
  <c r="E100" i="15"/>
  <c r="E88" i="15"/>
  <c r="E110" i="15"/>
  <c r="E62" i="15"/>
  <c r="E5" i="15"/>
  <c r="E60" i="15"/>
  <c r="E25" i="15"/>
  <c r="E51" i="15"/>
  <c r="E6" i="15"/>
  <c r="E77" i="15"/>
  <c r="F113" i="15"/>
  <c r="Q26" i="3"/>
  <c r="R26" i="3" s="1"/>
  <c r="Q12" i="3"/>
  <c r="R12" i="3" s="1"/>
  <c r="T12" i="3"/>
  <c r="W12" i="3" s="1"/>
  <c r="Q20" i="3"/>
  <c r="R20" i="3" s="1"/>
  <c r="Q28" i="3"/>
  <c r="R28" i="3" s="1"/>
  <c r="T28" i="3"/>
  <c r="W28" i="3" s="1"/>
  <c r="Q32" i="3"/>
  <c r="R32" i="3" s="1"/>
  <c r="Q72" i="3"/>
  <c r="R72" i="3" s="1"/>
  <c r="Q76" i="3"/>
  <c r="R76" i="3" s="1"/>
  <c r="Q84" i="3"/>
  <c r="R84" i="3" s="1"/>
  <c r="Q101" i="3"/>
  <c r="R101" i="3" s="1"/>
  <c r="T100" i="3"/>
  <c r="W100" i="3" s="1"/>
  <c r="Q100" i="3"/>
  <c r="R100" i="3" s="1"/>
  <c r="Q110" i="3"/>
  <c r="R110" i="3" s="1"/>
  <c r="Q117" i="3"/>
  <c r="R117" i="3" s="1"/>
  <c r="T117" i="3"/>
  <c r="W117" i="3" s="1"/>
  <c r="T121" i="3"/>
  <c r="W121" i="3" s="1"/>
  <c r="Q121" i="3"/>
  <c r="R121" i="3" s="1"/>
  <c r="T125" i="3"/>
  <c r="W125" i="3" s="1"/>
  <c r="Q125" i="3"/>
  <c r="R125" i="3" s="1"/>
  <c r="Q129" i="3"/>
  <c r="R129" i="3" s="1"/>
  <c r="Q107" i="3"/>
  <c r="R107" i="3" s="1"/>
  <c r="T107" i="3"/>
  <c r="W107" i="3" s="1"/>
  <c r="T116" i="3"/>
  <c r="W116" i="3" s="1"/>
  <c r="Q116" i="3"/>
  <c r="R116" i="3" s="1"/>
  <c r="Q31" i="3"/>
  <c r="R31" i="3" s="1"/>
  <c r="Q51" i="3"/>
  <c r="R51" i="3" s="1"/>
  <c r="T51" i="3"/>
  <c r="W51" i="3" s="1"/>
  <c r="Q48" i="3"/>
  <c r="R48" i="3" s="1"/>
  <c r="Q59" i="3"/>
  <c r="R59" i="3" s="1"/>
  <c r="Q63" i="3"/>
  <c r="R63" i="3" s="1"/>
  <c r="Q67" i="3"/>
  <c r="R67" i="3" s="1"/>
  <c r="Q71" i="3"/>
  <c r="R71" i="3" s="1"/>
  <c r="Q79" i="3"/>
  <c r="R79" i="3" s="1"/>
  <c r="Q83" i="3"/>
  <c r="R83" i="3" s="1"/>
  <c r="Q87" i="3"/>
  <c r="R87" i="3" s="1"/>
  <c r="Q91" i="3"/>
  <c r="R91" i="3" s="1"/>
  <c r="Q95" i="3"/>
  <c r="R95" i="3" s="1"/>
  <c r="Q99" i="3"/>
  <c r="R99" i="3" s="1"/>
  <c r="Q106" i="3"/>
  <c r="R106" i="3" s="1"/>
  <c r="Q108" i="3"/>
  <c r="R108" i="3" s="1"/>
  <c r="T115" i="3"/>
  <c r="W115" i="3" s="1"/>
  <c r="Q115" i="3"/>
  <c r="R115" i="3" s="1"/>
  <c r="T120" i="3"/>
  <c r="W120" i="3" s="1"/>
  <c r="Q120" i="3"/>
  <c r="R120" i="3" s="1"/>
  <c r="Q124" i="3"/>
  <c r="R124" i="3" s="1"/>
  <c r="Q128" i="3"/>
  <c r="R128" i="3" s="1"/>
  <c r="T128" i="3"/>
  <c r="W128" i="3" s="1"/>
  <c r="T132" i="3"/>
  <c r="W132" i="3" s="1"/>
  <c r="Q132" i="3"/>
  <c r="R132" i="3" s="1"/>
  <c r="T114" i="3"/>
  <c r="W114" i="3" s="1"/>
  <c r="Q114" i="3"/>
  <c r="R114" i="3" s="1"/>
  <c r="Q22" i="3"/>
  <c r="R22" i="3" s="1"/>
  <c r="Q42" i="3"/>
  <c r="R42" i="3" s="1"/>
  <c r="Q35" i="3"/>
  <c r="R35" i="3" s="1"/>
  <c r="Q50" i="3"/>
  <c r="R50" i="3" s="1"/>
  <c r="T50" i="3"/>
  <c r="W50" i="3" s="1"/>
  <c r="Q54" i="3"/>
  <c r="R54" i="3" s="1"/>
  <c r="Q47" i="3"/>
  <c r="R47" i="3" s="1"/>
  <c r="T47" i="3"/>
  <c r="W47" i="3" s="1"/>
  <c r="Q58" i="3"/>
  <c r="R58" i="3" s="1"/>
  <c r="Q74" i="3"/>
  <c r="R74" i="3" s="1"/>
  <c r="Q105" i="3"/>
  <c r="R105" i="3" s="1"/>
  <c r="T105" i="3"/>
  <c r="W105" i="3" s="1"/>
  <c r="T104" i="3"/>
  <c r="W104" i="3" s="1"/>
  <c r="Q104" i="3"/>
  <c r="R104" i="3" s="1"/>
  <c r="Q112" i="3"/>
  <c r="R112" i="3" s="1"/>
  <c r="T112" i="3"/>
  <c r="W112" i="3" s="1"/>
  <c r="Q119" i="3"/>
  <c r="R119" i="3" s="1"/>
  <c r="Q123" i="3"/>
  <c r="R123" i="3" s="1"/>
  <c r="T123" i="3"/>
  <c r="W123" i="3" s="1"/>
  <c r="Q127" i="3"/>
  <c r="R127" i="3" s="1"/>
  <c r="Q131" i="3"/>
  <c r="R131" i="3" s="1"/>
  <c r="Q113" i="3"/>
  <c r="R113" i="3" s="1"/>
  <c r="Q13" i="3"/>
  <c r="R13" i="3" s="1"/>
  <c r="Q16" i="3"/>
  <c r="R16" i="3" s="1"/>
  <c r="T29" i="3"/>
  <c r="W29" i="3" s="1"/>
  <c r="Q29" i="3"/>
  <c r="R29" i="3" s="1"/>
  <c r="Q45" i="3"/>
  <c r="R45" i="3" s="1"/>
  <c r="Q38" i="3"/>
  <c r="R38" i="3" s="1"/>
  <c r="Q56" i="3"/>
  <c r="R56" i="3" s="1"/>
  <c r="Q69" i="3"/>
  <c r="R69" i="3" s="1"/>
  <c r="Q93" i="3"/>
  <c r="R93" i="3" s="1"/>
  <c r="Q103" i="3"/>
  <c r="R103" i="3" s="1"/>
  <c r="Q111" i="3"/>
  <c r="R111" i="3" s="1"/>
  <c r="Q118" i="3"/>
  <c r="R118" i="3" s="1"/>
  <c r="T118" i="3"/>
  <c r="W118" i="3" s="1"/>
  <c r="Q122" i="3"/>
  <c r="R122" i="3" s="1"/>
  <c r="T126" i="3"/>
  <c r="W126" i="3" s="1"/>
  <c r="Q126" i="3"/>
  <c r="R126" i="3" s="1"/>
  <c r="T130" i="3"/>
  <c r="W130" i="3" s="1"/>
  <c r="Q130" i="3"/>
  <c r="R130" i="3" s="1"/>
  <c r="Q109" i="3"/>
  <c r="R109" i="3" s="1"/>
  <c r="Q133" i="3"/>
  <c r="R133" i="3" s="1"/>
  <c r="T133" i="3"/>
  <c r="W133" i="3" s="1"/>
  <c r="S50" i="3"/>
  <c r="S47" i="3"/>
  <c r="S107" i="3"/>
  <c r="P94" i="3"/>
  <c r="P96" i="3"/>
  <c r="P36" i="3"/>
  <c r="P52" i="3"/>
  <c r="P119" i="3"/>
  <c r="P97" i="3"/>
  <c r="P37" i="3"/>
  <c r="P19" i="3"/>
  <c r="P70" i="3"/>
  <c r="S67" i="3"/>
  <c r="S32" i="3"/>
  <c r="S35" i="3"/>
  <c r="P34" i="3"/>
  <c r="S83" i="3"/>
  <c r="P85" i="3"/>
  <c r="P27" i="3"/>
  <c r="P80" i="3"/>
  <c r="P81" i="3"/>
  <c r="S38" i="3"/>
  <c r="S56" i="3"/>
  <c r="S128" i="3"/>
  <c r="P86" i="3"/>
  <c r="S45" i="3"/>
  <c r="P73" i="3"/>
  <c r="S16" i="3"/>
  <c r="P118" i="3"/>
  <c r="S126" i="3"/>
  <c r="S95" i="3"/>
  <c r="S29" i="3"/>
  <c r="S71" i="3"/>
  <c r="P98" i="3"/>
  <c r="P17" i="3"/>
  <c r="P82" i="3"/>
  <c r="S87" i="3"/>
  <c r="S28" i="3"/>
  <c r="S130" i="3"/>
  <c r="S20" i="3"/>
  <c r="P15" i="3"/>
  <c r="P30" i="3"/>
  <c r="P111" i="3"/>
  <c r="P40" i="3"/>
  <c r="P60" i="3"/>
  <c r="S117" i="3"/>
  <c r="S69" i="3"/>
  <c r="P88" i="3"/>
  <c r="P57" i="3"/>
  <c r="S11" i="3"/>
  <c r="P55" i="3"/>
  <c r="P109" i="3"/>
  <c r="S99" i="3"/>
  <c r="P33" i="3"/>
  <c r="P122" i="3"/>
  <c r="S59" i="3"/>
  <c r="P131" i="3"/>
  <c r="P61" i="3"/>
  <c r="P66" i="3"/>
  <c r="S105" i="3"/>
  <c r="S100" i="3"/>
  <c r="S42" i="3"/>
  <c r="P92" i="3"/>
  <c r="S72" i="3"/>
  <c r="P43" i="3"/>
  <c r="P24" i="3"/>
  <c r="S84" i="3"/>
  <c r="P77" i="3"/>
  <c r="P113" i="3"/>
  <c r="P125" i="3"/>
  <c r="P68" i="3"/>
  <c r="P103" i="3"/>
  <c r="S22" i="3"/>
  <c r="P14" i="3"/>
  <c r="P65" i="3"/>
  <c r="P62" i="3"/>
  <c r="S112" i="3"/>
  <c r="P78" i="3"/>
  <c r="P25" i="3"/>
  <c r="S115" i="3"/>
  <c r="P129" i="3"/>
  <c r="P89" i="3"/>
  <c r="S31" i="3"/>
  <c r="S121" i="3"/>
  <c r="S93" i="3"/>
  <c r="S65" i="3"/>
  <c r="S12" i="3"/>
  <c r="P49" i="3"/>
  <c r="S79" i="3"/>
  <c r="P44" i="3"/>
  <c r="P106" i="3"/>
  <c r="P41" i="3"/>
  <c r="S114" i="3"/>
  <c r="P90" i="3"/>
  <c r="P39" i="3"/>
  <c r="P108" i="3"/>
  <c r="S74" i="3"/>
  <c r="P21" i="3"/>
  <c r="S91" i="3"/>
  <c r="S26" i="3"/>
  <c r="P110" i="3"/>
  <c r="S51" i="3"/>
  <c r="P127" i="3"/>
  <c r="P75" i="3"/>
  <c r="P53" i="3"/>
  <c r="S63" i="3"/>
  <c r="P64" i="3"/>
  <c r="P124" i="3"/>
  <c r="S101" i="3"/>
  <c r="S48" i="3"/>
  <c r="S76" i="3"/>
  <c r="S116" i="3"/>
  <c r="S13" i="3"/>
  <c r="S54" i="3"/>
  <c r="S104" i="3"/>
  <c r="P23" i="3"/>
  <c r="S123" i="3"/>
  <c r="P18" i="3"/>
  <c r="S58" i="3"/>
  <c r="P102" i="3"/>
  <c r="P46" i="3"/>
  <c r="F107" i="15" l="1"/>
  <c r="F93" i="15"/>
  <c r="F22" i="15"/>
  <c r="F40" i="15"/>
  <c r="F43" i="15"/>
  <c r="T13" i="3"/>
  <c r="W13" i="3" s="1"/>
  <c r="T42" i="3"/>
  <c r="W42" i="3" s="1"/>
  <c r="T54" i="3"/>
  <c r="W54" i="3" s="1"/>
  <c r="Q102" i="3"/>
  <c r="R102" i="3" s="1"/>
  <c r="T101" i="3"/>
  <c r="W101" i="3" s="1"/>
  <c r="T95" i="3"/>
  <c r="W95" i="3" s="1"/>
  <c r="T93" i="3"/>
  <c r="W93" i="3" s="1"/>
  <c r="Q86" i="3"/>
  <c r="R86" i="3" s="1"/>
  <c r="Q89" i="3"/>
  <c r="R89" i="3" s="1"/>
  <c r="T99" i="3"/>
  <c r="W99" i="3" s="1"/>
  <c r="Q85" i="3"/>
  <c r="R85" i="3" s="1"/>
  <c r="Q88" i="3"/>
  <c r="R88" i="3" s="1"/>
  <c r="Q97" i="3"/>
  <c r="R97" i="3" s="1"/>
  <c r="T91" i="3"/>
  <c r="W91" i="3" s="1"/>
  <c r="T87" i="3"/>
  <c r="W87" i="3" s="1"/>
  <c r="Q96" i="3"/>
  <c r="R96" i="3" s="1"/>
  <c r="Q94" i="3"/>
  <c r="R94" i="3" s="1"/>
  <c r="Q92" i="3"/>
  <c r="R92" i="3" s="1"/>
  <c r="Q98" i="3"/>
  <c r="R98" i="3" s="1"/>
  <c r="Q90" i="3"/>
  <c r="R90" i="3" s="1"/>
  <c r="T71" i="3"/>
  <c r="W71" i="3" s="1"/>
  <c r="F47" i="15"/>
  <c r="F110" i="15"/>
  <c r="F21" i="15"/>
  <c r="F64" i="15"/>
  <c r="F108" i="15"/>
  <c r="F44" i="15"/>
  <c r="F114" i="15"/>
  <c r="F77" i="15"/>
  <c r="F35" i="15"/>
  <c r="Q17" i="3"/>
  <c r="R17" i="3" s="1"/>
  <c r="T16" i="3"/>
  <c r="W16" i="3" s="1"/>
  <c r="Q18" i="3"/>
  <c r="R18" i="3" s="1"/>
  <c r="Q19" i="3"/>
  <c r="R19" i="3" s="1"/>
  <c r="T20" i="3"/>
  <c r="W20" i="3" s="1"/>
  <c r="Q21" i="3"/>
  <c r="R21" i="3" s="1"/>
  <c r="T22" i="3"/>
  <c r="W22" i="3" s="1"/>
  <c r="Q23" i="3"/>
  <c r="R23" i="3" s="1"/>
  <c r="T26" i="3"/>
  <c r="W26" i="3" s="1"/>
  <c r="Q25" i="3"/>
  <c r="R25" i="3" s="1"/>
  <c r="Q24" i="3"/>
  <c r="R24" i="3" s="1"/>
  <c r="F116" i="15"/>
  <c r="F19" i="15"/>
  <c r="F97" i="15"/>
  <c r="F15" i="15"/>
  <c r="F94" i="15"/>
  <c r="F9" i="15"/>
  <c r="T48" i="3"/>
  <c r="W48" i="3" s="1"/>
  <c r="F41" i="15"/>
  <c r="Q27" i="3"/>
  <c r="R27" i="3" s="1"/>
  <c r="Q30" i="3"/>
  <c r="R30" i="3" s="1"/>
  <c r="F123" i="15"/>
  <c r="F121" i="15"/>
  <c r="F4" i="15"/>
  <c r="T56" i="3"/>
  <c r="W56" i="3" s="1"/>
  <c r="F72" i="15"/>
  <c r="T79" i="3"/>
  <c r="W79" i="3" s="1"/>
  <c r="F100" i="15"/>
  <c r="F5" i="15"/>
  <c r="F84" i="15"/>
  <c r="F76" i="15"/>
  <c r="T83" i="3"/>
  <c r="W83" i="3" s="1"/>
  <c r="T35" i="3"/>
  <c r="W35" i="3" s="1"/>
  <c r="T32" i="3"/>
  <c r="W32" i="3" s="1"/>
  <c r="T31" i="3"/>
  <c r="W31" i="3" s="1"/>
  <c r="T45" i="3"/>
  <c r="W45" i="3" s="1"/>
  <c r="T38" i="3"/>
  <c r="W38" i="3" s="1"/>
  <c r="Q53" i="3"/>
  <c r="R53" i="3" s="1"/>
  <c r="Q37" i="3"/>
  <c r="R37" i="3" s="1"/>
  <c r="Q49" i="3"/>
  <c r="R49" i="3" s="1"/>
  <c r="Q41" i="3"/>
  <c r="R41" i="3" s="1"/>
  <c r="Q55" i="3"/>
  <c r="R55" i="3" s="1"/>
  <c r="Q46" i="3"/>
  <c r="R46" i="3" s="1"/>
  <c r="Q39" i="3"/>
  <c r="R39" i="3" s="1"/>
  <c r="Q33" i="3"/>
  <c r="R33" i="3" s="1"/>
  <c r="Q52" i="3"/>
  <c r="R52" i="3" s="1"/>
  <c r="Q44" i="3"/>
  <c r="R44" i="3" s="1"/>
  <c r="Q34" i="3"/>
  <c r="R34" i="3" s="1"/>
  <c r="Q36" i="3"/>
  <c r="R36" i="3" s="1"/>
  <c r="Q40" i="3"/>
  <c r="R40" i="3" s="1"/>
  <c r="Q43" i="3"/>
  <c r="R43" i="3" s="1"/>
  <c r="E91" i="15"/>
  <c r="Q57" i="3"/>
  <c r="R57" i="3" s="1"/>
  <c r="E50" i="15"/>
  <c r="E45" i="15"/>
  <c r="E42" i="15"/>
  <c r="E95" i="15"/>
  <c r="E90" i="15"/>
  <c r="E27" i="15"/>
  <c r="E32" i="15"/>
  <c r="E46" i="15"/>
  <c r="E103" i="15"/>
  <c r="E26" i="15"/>
  <c r="E81" i="15"/>
  <c r="F58" i="15"/>
  <c r="E101" i="15"/>
  <c r="E34" i="15"/>
  <c r="E85" i="15"/>
  <c r="E120" i="15"/>
  <c r="E79" i="15"/>
  <c r="F105" i="15"/>
  <c r="F92" i="15"/>
  <c r="F25" i="15"/>
  <c r="F31" i="15"/>
  <c r="F49" i="15"/>
  <c r="E83" i="15"/>
  <c r="E118" i="15"/>
  <c r="E122" i="15"/>
  <c r="E33" i="15"/>
  <c r="E61" i="15"/>
  <c r="Q68" i="3"/>
  <c r="R68" i="3" s="1"/>
  <c r="E63" i="15"/>
  <c r="Q70" i="3"/>
  <c r="R70" i="3" s="1"/>
  <c r="E89" i="15"/>
  <c r="E99" i="15"/>
  <c r="Q66" i="3"/>
  <c r="R66" i="3" s="1"/>
  <c r="E59" i="15"/>
  <c r="E112" i="15"/>
  <c r="E74" i="15"/>
  <c r="Q81" i="3"/>
  <c r="R81" i="3" s="1"/>
  <c r="E12" i="15"/>
  <c r="E58" i="15"/>
  <c r="Q65" i="3"/>
  <c r="R65" i="3" s="1"/>
  <c r="E37" i="15"/>
  <c r="E39" i="15"/>
  <c r="E54" i="15"/>
  <c r="Q61" i="3"/>
  <c r="R61" i="3" s="1"/>
  <c r="F67" i="15"/>
  <c r="T74" i="3"/>
  <c r="W74" i="3" s="1"/>
  <c r="F65" i="15"/>
  <c r="T72" i="3"/>
  <c r="W72" i="3" s="1"/>
  <c r="F38" i="15"/>
  <c r="T76" i="3"/>
  <c r="W76" i="3" s="1"/>
  <c r="F69" i="15"/>
  <c r="F119" i="15"/>
  <c r="T63" i="3"/>
  <c r="W63" i="3" s="1"/>
  <c r="F56" i="15"/>
  <c r="E106" i="15"/>
  <c r="E36" i="15"/>
  <c r="E124" i="15"/>
  <c r="E78" i="15"/>
  <c r="E18" i="15"/>
  <c r="E20" i="15"/>
  <c r="E96" i="15"/>
  <c r="E23" i="15"/>
  <c r="E48" i="15"/>
  <c r="E68" i="15"/>
  <c r="Q75" i="3"/>
  <c r="R75" i="3" s="1"/>
  <c r="E102" i="15"/>
  <c r="Q60" i="3"/>
  <c r="R60" i="3" s="1"/>
  <c r="E53" i="15"/>
  <c r="E17" i="15"/>
  <c r="E14" i="15"/>
  <c r="Q77" i="3"/>
  <c r="R77" i="3" s="1"/>
  <c r="E70" i="15"/>
  <c r="E11" i="15"/>
  <c r="T59" i="3"/>
  <c r="W59" i="3" s="1"/>
  <c r="F52" i="15"/>
  <c r="F24" i="15"/>
  <c r="T69" i="3"/>
  <c r="W69" i="3" s="1"/>
  <c r="F62" i="15"/>
  <c r="F28" i="15"/>
  <c r="F98" i="15"/>
  <c r="F51" i="15"/>
  <c r="T58" i="3"/>
  <c r="W58" i="3" s="1"/>
  <c r="E30" i="15"/>
  <c r="E73" i="15"/>
  <c r="Q80" i="3"/>
  <c r="R80" i="3" s="1"/>
  <c r="Q78" i="3"/>
  <c r="R78" i="3" s="1"/>
  <c r="E71" i="15"/>
  <c r="E66" i="15"/>
  <c r="Q73" i="3"/>
  <c r="R73" i="3" s="1"/>
  <c r="E111" i="15"/>
  <c r="E16" i="15"/>
  <c r="E29" i="15"/>
  <c r="E75" i="15"/>
  <c r="Q82" i="3"/>
  <c r="R82" i="3" s="1"/>
  <c r="E117" i="15"/>
  <c r="Q64" i="3"/>
  <c r="R64" i="3" s="1"/>
  <c r="E57" i="15"/>
  <c r="E10" i="15"/>
  <c r="E82" i="15"/>
  <c r="E87" i="15"/>
  <c r="E104" i="15"/>
  <c r="E115" i="15"/>
  <c r="Q62" i="3"/>
  <c r="R62" i="3" s="1"/>
  <c r="E55" i="15"/>
  <c r="F80" i="15"/>
  <c r="F86" i="15"/>
  <c r="F109" i="15"/>
  <c r="T67" i="3"/>
  <c r="W67" i="3" s="1"/>
  <c r="F60" i="15"/>
  <c r="F13" i="15"/>
  <c r="F88" i="15"/>
  <c r="F6" i="15"/>
  <c r="T127" i="3"/>
  <c r="W127" i="3" s="1"/>
  <c r="T106" i="3"/>
  <c r="W106" i="3" s="1"/>
  <c r="T108" i="3"/>
  <c r="W108" i="3" s="1"/>
  <c r="T119" i="3"/>
  <c r="W119" i="3" s="1"/>
  <c r="Q15" i="3"/>
  <c r="R15" i="3" s="1"/>
  <c r="Q14" i="3"/>
  <c r="R14" i="3" s="1"/>
  <c r="T24" i="3"/>
  <c r="W24" i="3" s="1"/>
  <c r="T129" i="3"/>
  <c r="W129" i="3" s="1"/>
  <c r="T131" i="3"/>
  <c r="W131" i="3" s="1"/>
  <c r="T109" i="3"/>
  <c r="W109" i="3" s="1"/>
  <c r="T110" i="3"/>
  <c r="W110" i="3" s="1"/>
  <c r="T111" i="3"/>
  <c r="W111" i="3" s="1"/>
  <c r="T113" i="3"/>
  <c r="W113" i="3" s="1"/>
  <c r="T103" i="3"/>
  <c r="W103" i="3" s="1"/>
  <c r="T84" i="3"/>
  <c r="W84" i="3" s="1"/>
  <c r="T122" i="3"/>
  <c r="W122" i="3" s="1"/>
  <c r="T124" i="3"/>
  <c r="W124" i="3" s="1"/>
  <c r="T65" i="3"/>
  <c r="W65" i="3" s="1"/>
  <c r="E8" i="15"/>
  <c r="E7" i="15"/>
  <c r="T49" i="3"/>
  <c r="W49" i="3" s="1"/>
  <c r="S106" i="3"/>
  <c r="S49" i="3"/>
  <c r="S113" i="3"/>
  <c r="S14" i="3"/>
  <c r="S19" i="3"/>
  <c r="S41" i="3"/>
  <c r="S89" i="3"/>
  <c r="S131" i="3"/>
  <c r="S15" i="3"/>
  <c r="S98" i="3"/>
  <c r="S53" i="3"/>
  <c r="S94" i="3"/>
  <c r="S77" i="3"/>
  <c r="S44" i="3"/>
  <c r="S52" i="3"/>
  <c r="S75" i="3"/>
  <c r="S80" i="3"/>
  <c r="S92" i="3"/>
  <c r="S122" i="3"/>
  <c r="S37" i="3"/>
  <c r="S88" i="3"/>
  <c r="C26" i="14"/>
  <c r="S33" i="3"/>
  <c r="S23" i="3"/>
  <c r="S43" i="3"/>
  <c r="S129" i="3"/>
  <c r="S21" i="3"/>
  <c r="S17" i="3"/>
  <c r="S85" i="3"/>
  <c r="S124" i="3"/>
  <c r="S40" i="3"/>
  <c r="S60" i="3"/>
  <c r="S64" i="3"/>
  <c r="S119" i="3"/>
  <c r="S82" i="3"/>
  <c r="S68" i="3"/>
  <c r="S46" i="3"/>
  <c r="S62" i="3"/>
  <c r="S36" i="3"/>
  <c r="S55" i="3"/>
  <c r="S110" i="3"/>
  <c r="S125" i="3"/>
  <c r="S24" i="3"/>
  <c r="S66" i="3"/>
  <c r="S61" i="3"/>
  <c r="S97" i="3"/>
  <c r="S27" i="3"/>
  <c r="S25" i="3"/>
  <c r="S73" i="3"/>
  <c r="S70" i="3"/>
  <c r="S108" i="3"/>
  <c r="S118" i="3"/>
  <c r="S57" i="3"/>
  <c r="S34" i="3"/>
  <c r="S39" i="3"/>
  <c r="S96" i="3"/>
  <c r="S18" i="3"/>
  <c r="S111" i="3"/>
  <c r="S90" i="3"/>
  <c r="S127" i="3"/>
  <c r="S78" i="3"/>
  <c r="S102" i="3"/>
  <c r="S81" i="3"/>
  <c r="S109" i="3"/>
  <c r="S86" i="3"/>
  <c r="S103" i="3"/>
  <c r="S30" i="3"/>
  <c r="T18" i="3" l="1"/>
  <c r="W18" i="3" s="1"/>
  <c r="T44" i="3"/>
  <c r="W44" i="3" s="1"/>
  <c r="T55" i="3"/>
  <c r="W55" i="3" s="1"/>
  <c r="T102" i="3"/>
  <c r="W102" i="3" s="1"/>
  <c r="T85" i="3"/>
  <c r="W85" i="3" s="1"/>
  <c r="T86" i="3"/>
  <c r="W86" i="3" s="1"/>
  <c r="T97" i="3"/>
  <c r="W97" i="3" s="1"/>
  <c r="T94" i="3"/>
  <c r="W94" i="3" s="1"/>
  <c r="T98" i="3"/>
  <c r="W98" i="3" s="1"/>
  <c r="T90" i="3"/>
  <c r="W90" i="3" s="1"/>
  <c r="T88" i="3"/>
  <c r="W88" i="3" s="1"/>
  <c r="T89" i="3"/>
  <c r="W89" i="3" s="1"/>
  <c r="T96" i="3"/>
  <c r="W96" i="3" s="1"/>
  <c r="T92" i="3"/>
  <c r="W92" i="3" s="1"/>
  <c r="T75" i="3"/>
  <c r="W75" i="3" s="1"/>
  <c r="F17" i="15"/>
  <c r="F11" i="15"/>
  <c r="F68" i="15"/>
  <c r="F42" i="15"/>
  <c r="F37" i="15"/>
  <c r="F90" i="15"/>
  <c r="F120" i="15"/>
  <c r="F54" i="15"/>
  <c r="T61" i="3"/>
  <c r="W61" i="3" s="1"/>
  <c r="F75" i="15"/>
  <c r="T82" i="3"/>
  <c r="W82" i="3" s="1"/>
  <c r="F96" i="15"/>
  <c r="F112" i="15"/>
  <c r="T77" i="3"/>
  <c r="W77" i="3" s="1"/>
  <c r="T62" i="3"/>
  <c r="W62" i="3" s="1"/>
  <c r="T17" i="3"/>
  <c r="W17" i="3" s="1"/>
  <c r="T19" i="3"/>
  <c r="W19" i="3" s="1"/>
  <c r="T21" i="3"/>
  <c r="W21" i="3" s="1"/>
  <c r="T23" i="3"/>
  <c r="W23" i="3" s="1"/>
  <c r="T25" i="3"/>
  <c r="W25" i="3" s="1"/>
  <c r="F101" i="15"/>
  <c r="T40" i="3"/>
  <c r="W40" i="3" s="1"/>
  <c r="F33" i="15"/>
  <c r="F70" i="15"/>
  <c r="T39" i="3"/>
  <c r="W39" i="3" s="1"/>
  <c r="F32" i="15"/>
  <c r="F55" i="15"/>
  <c r="F117" i="15"/>
  <c r="T53" i="3"/>
  <c r="W53" i="3" s="1"/>
  <c r="T27" i="3"/>
  <c r="W27" i="3" s="1"/>
  <c r="T46" i="3"/>
  <c r="W46" i="3" s="1"/>
  <c r="T33" i="3"/>
  <c r="W33" i="3" s="1"/>
  <c r="T34" i="3"/>
  <c r="W34" i="3" s="1"/>
  <c r="T30" i="3"/>
  <c r="W30" i="3" s="1"/>
  <c r="T41" i="3"/>
  <c r="W41" i="3" s="1"/>
  <c r="F79" i="15"/>
  <c r="F74" i="15"/>
  <c r="T81" i="3"/>
  <c r="W81" i="3" s="1"/>
  <c r="F85" i="15"/>
  <c r="F14" i="15"/>
  <c r="F103" i="15"/>
  <c r="F16" i="15"/>
  <c r="F12" i="15"/>
  <c r="F34" i="15"/>
  <c r="F48" i="15"/>
  <c r="F87" i="15"/>
  <c r="F39" i="15"/>
  <c r="F18" i="15"/>
  <c r="F26" i="15"/>
  <c r="F82" i="15"/>
  <c r="F46" i="15"/>
  <c r="F104" i="15"/>
  <c r="T66" i="3"/>
  <c r="W66" i="3" s="1"/>
  <c r="F59" i="15"/>
  <c r="F27" i="15"/>
  <c r="F95" i="15"/>
  <c r="F10" i="15"/>
  <c r="F115" i="15"/>
  <c r="F57" i="15"/>
  <c r="T64" i="3"/>
  <c r="W64" i="3" s="1"/>
  <c r="T36" i="3"/>
  <c r="W36" i="3" s="1"/>
  <c r="T37" i="3"/>
  <c r="W37" i="3" s="1"/>
  <c r="T43" i="3"/>
  <c r="W43" i="3" s="1"/>
  <c r="T52" i="3"/>
  <c r="W52" i="3" s="1"/>
  <c r="F30" i="15"/>
  <c r="F83" i="15"/>
  <c r="F53" i="15"/>
  <c r="T60" i="3"/>
  <c r="W60" i="3" s="1"/>
  <c r="F20" i="15"/>
  <c r="F71" i="15"/>
  <c r="T78" i="3"/>
  <c r="W78" i="3" s="1"/>
  <c r="F66" i="15"/>
  <c r="T73" i="3"/>
  <c r="W73" i="3" s="1"/>
  <c r="F102" i="15"/>
  <c r="F106" i="15"/>
  <c r="F99" i="15"/>
  <c r="F61" i="15"/>
  <c r="T68" i="3"/>
  <c r="W68" i="3" s="1"/>
  <c r="F122" i="15"/>
  <c r="F111" i="15"/>
  <c r="F78" i="15"/>
  <c r="F63" i="15"/>
  <c r="T70" i="3"/>
  <c r="W70" i="3" s="1"/>
  <c r="F91" i="15"/>
  <c r="F29" i="15"/>
  <c r="F36" i="15"/>
  <c r="F89" i="15"/>
  <c r="F45" i="15"/>
  <c r="F73" i="15"/>
  <c r="T80" i="3"/>
  <c r="W80" i="3" s="1"/>
  <c r="F23" i="15"/>
  <c r="F124" i="15"/>
  <c r="F118" i="15"/>
  <c r="F81" i="15"/>
  <c r="F50" i="15"/>
  <c r="T57" i="3"/>
  <c r="W57" i="3" s="1"/>
  <c r="Q6" i="3"/>
  <c r="P6" i="3"/>
  <c r="F8" i="15"/>
  <c r="T15" i="3"/>
  <c r="W15" i="3" s="1"/>
  <c r="F7" i="15"/>
  <c r="T14" i="3"/>
  <c r="W14" i="3" s="1"/>
  <c r="J10" i="8"/>
  <c r="E10" i="13"/>
  <c r="E4" i="13"/>
  <c r="H4" i="13" s="1"/>
  <c r="Z6" i="3" l="1"/>
  <c r="T6" i="3"/>
  <c r="R6" i="3"/>
  <c r="U6" i="3"/>
  <c r="AA6" i="3"/>
  <c r="S6" i="3" l="1"/>
  <c r="K2" i="9"/>
  <c r="A9" i="8"/>
  <c r="K2" i="3"/>
  <c r="M1" i="3" s="1"/>
  <c r="A10" i="8" s="1"/>
  <c r="V6" i="3"/>
  <c r="N6" i="3" s="1"/>
  <c r="U10" i="3" l="1"/>
  <c r="U9" i="3"/>
  <c r="U80" i="3"/>
  <c r="U36" i="3"/>
  <c r="U116" i="3"/>
  <c r="U99" i="3"/>
  <c r="U13" i="3"/>
  <c r="U49" i="3"/>
  <c r="U102" i="3"/>
  <c r="U38" i="3"/>
  <c r="U121" i="3"/>
  <c r="U75" i="3"/>
  <c r="U31" i="3"/>
  <c r="U56" i="3"/>
  <c r="U92" i="3"/>
  <c r="U70" i="3"/>
  <c r="U123" i="3"/>
  <c r="U79" i="3"/>
  <c r="U32" i="3"/>
  <c r="U120" i="3"/>
  <c r="U35" i="3"/>
  <c r="U71" i="3"/>
  <c r="U118" i="3"/>
  <c r="U54" i="3"/>
  <c r="U37" i="3"/>
  <c r="U117" i="3"/>
  <c r="U73" i="3"/>
  <c r="U77" i="3"/>
  <c r="U113" i="3"/>
  <c r="U28" i="3"/>
  <c r="U86" i="3"/>
  <c r="U22" i="3"/>
  <c r="U112" i="3"/>
  <c r="U101" i="3"/>
  <c r="U59" i="3"/>
  <c r="U16" i="3"/>
  <c r="U100" i="3"/>
  <c r="U57" i="3"/>
  <c r="U15" i="3"/>
  <c r="U96" i="3"/>
  <c r="U53" i="3"/>
  <c r="U11" i="3"/>
  <c r="U95" i="3"/>
  <c r="U52" i="3"/>
  <c r="U131" i="3"/>
  <c r="U109" i="3"/>
  <c r="U88" i="3"/>
  <c r="U67" i="3"/>
  <c r="U45" i="3"/>
  <c r="U24" i="3"/>
  <c r="U124" i="3"/>
  <c r="U103" i="3"/>
  <c r="U81" i="3"/>
  <c r="U60" i="3"/>
  <c r="U39" i="3"/>
  <c r="U17" i="3"/>
  <c r="U126" i="3"/>
  <c r="U110" i="3"/>
  <c r="U94" i="3"/>
  <c r="U78" i="3"/>
  <c r="U62" i="3"/>
  <c r="U46" i="3"/>
  <c r="U30" i="3"/>
  <c r="U14" i="3"/>
  <c r="U69" i="3"/>
  <c r="U27" i="3"/>
  <c r="U111" i="3"/>
  <c r="U68" i="3"/>
  <c r="U25" i="3"/>
  <c r="U107" i="3"/>
  <c r="U64" i="3"/>
  <c r="U21" i="3"/>
  <c r="U105" i="3"/>
  <c r="U63" i="3"/>
  <c r="U20" i="3"/>
  <c r="U115" i="3"/>
  <c r="U93" i="3"/>
  <c r="U72" i="3"/>
  <c r="U51" i="3"/>
  <c r="U29" i="3"/>
  <c r="U129" i="3"/>
  <c r="U108" i="3"/>
  <c r="U87" i="3"/>
  <c r="U65" i="3"/>
  <c r="U44" i="3"/>
  <c r="U23" i="3"/>
  <c r="U130" i="3"/>
  <c r="U114" i="3"/>
  <c r="U98" i="3"/>
  <c r="U82" i="3"/>
  <c r="U66" i="3"/>
  <c r="U50" i="3"/>
  <c r="U34" i="3"/>
  <c r="U18" i="3"/>
  <c r="U133" i="3"/>
  <c r="U91" i="3"/>
  <c r="U48" i="3"/>
  <c r="U132" i="3"/>
  <c r="U89" i="3"/>
  <c r="U47" i="3"/>
  <c r="U128" i="3"/>
  <c r="U85" i="3"/>
  <c r="U43" i="3"/>
  <c r="U127" i="3"/>
  <c r="U84" i="3"/>
  <c r="U41" i="3"/>
  <c r="U125" i="3"/>
  <c r="U104" i="3"/>
  <c r="U83" i="3"/>
  <c r="U61" i="3"/>
  <c r="U40" i="3"/>
  <c r="U19" i="3"/>
  <c r="U119" i="3"/>
  <c r="U97" i="3"/>
  <c r="U76" i="3"/>
  <c r="U55" i="3"/>
  <c r="U33" i="3"/>
  <c r="U12" i="3"/>
  <c r="U122" i="3"/>
  <c r="U106" i="3"/>
  <c r="U90" i="3"/>
  <c r="U74" i="3"/>
  <c r="U58" i="3"/>
  <c r="U42" i="3"/>
  <c r="U26" i="3"/>
  <c r="L2" i="9"/>
  <c r="D9" i="8"/>
  <c r="X10" i="3"/>
  <c r="H3" i="15" s="1"/>
  <c r="X11" i="3"/>
  <c r="H4" i="15" s="1"/>
  <c r="X9" i="3"/>
  <c r="H2" i="15" s="1"/>
  <c r="O55" i="3"/>
  <c r="Y55" i="3" s="1"/>
  <c r="O28" i="3"/>
  <c r="Y28" i="3" s="1"/>
  <c r="O56" i="3"/>
  <c r="Y56" i="3" s="1"/>
  <c r="O66" i="3"/>
  <c r="Y66" i="3" s="1"/>
  <c r="O133" i="3"/>
  <c r="O53" i="3"/>
  <c r="Y53" i="3" s="1"/>
  <c r="X6" i="3"/>
  <c r="O107" i="3"/>
  <c r="Y107" i="3" s="1"/>
  <c r="O76" i="3"/>
  <c r="Y76" i="3" s="1"/>
  <c r="O58" i="3"/>
  <c r="Y58" i="3" s="1"/>
  <c r="O75" i="3"/>
  <c r="Y75" i="3" s="1"/>
  <c r="O42" i="3"/>
  <c r="Y42" i="3" s="1"/>
  <c r="O60" i="3"/>
  <c r="Y60" i="3" s="1"/>
  <c r="W6" i="3"/>
  <c r="O6" i="3"/>
  <c r="O29" i="3"/>
  <c r="Y29" i="3" s="1"/>
  <c r="O116" i="3"/>
  <c r="Y116" i="3" s="1"/>
  <c r="O122" i="3"/>
  <c r="Y122" i="3" s="1"/>
  <c r="O38" i="3"/>
  <c r="Y38" i="3" s="1"/>
  <c r="O104" i="3"/>
  <c r="Y104" i="3" s="1"/>
  <c r="O33" i="3"/>
  <c r="Y33" i="3" s="1"/>
  <c r="O59" i="3"/>
  <c r="Y59" i="3" s="1"/>
  <c r="O13" i="3"/>
  <c r="Y13" i="3" s="1"/>
  <c r="O62" i="3"/>
  <c r="Y62" i="3" s="1"/>
  <c r="O117" i="3"/>
  <c r="Y117" i="3" s="1"/>
  <c r="Y6" i="3"/>
  <c r="O95" i="3"/>
  <c r="Y95" i="3" s="1"/>
  <c r="O97" i="3"/>
  <c r="Y97" i="3" s="1"/>
  <c r="O105" i="3"/>
  <c r="Y105" i="3" s="1"/>
  <c r="O20" i="3"/>
  <c r="Y20" i="3" s="1"/>
  <c r="O18" i="3"/>
  <c r="Y18" i="3" s="1"/>
  <c r="O70" i="3"/>
  <c r="Y70" i="3" s="1"/>
  <c r="O115" i="3"/>
  <c r="Y115" i="3" s="1"/>
  <c r="O110" i="3"/>
  <c r="Y110" i="3" s="1"/>
  <c r="O44" i="3"/>
  <c r="Y44" i="3" s="1"/>
  <c r="O31" i="3"/>
  <c r="Y31" i="3" s="1"/>
  <c r="O103" i="3"/>
  <c r="Y103" i="3" s="1"/>
  <c r="O81" i="3"/>
  <c r="Y81" i="3" s="1"/>
  <c r="O129" i="3"/>
  <c r="Y129" i="3" s="1"/>
  <c r="O100" i="3"/>
  <c r="Y100" i="3" s="1"/>
  <c r="O35" i="3"/>
  <c r="Y35" i="3" s="1"/>
  <c r="O25" i="3"/>
  <c r="Y25" i="3" s="1"/>
  <c r="O84" i="3"/>
  <c r="Y84" i="3" s="1"/>
  <c r="O24" i="3"/>
  <c r="Y24" i="3" s="1"/>
  <c r="O111" i="3"/>
  <c r="Y111" i="3" s="1"/>
  <c r="O57" i="3"/>
  <c r="Y57" i="3" s="1"/>
  <c r="S2" i="9"/>
  <c r="I9" i="8"/>
  <c r="O32" i="3"/>
  <c r="Y32" i="3" s="1"/>
  <c r="O63" i="3"/>
  <c r="Y63" i="3" s="1"/>
  <c r="O92" i="3"/>
  <c r="Y92" i="3" s="1"/>
  <c r="O123" i="3"/>
  <c r="Y123" i="3" s="1"/>
  <c r="O10" i="3"/>
  <c r="G3" i="15" s="1"/>
  <c r="O89" i="3"/>
  <c r="Y89" i="3" s="1"/>
  <c r="O43" i="3"/>
  <c r="Y43" i="3" s="1"/>
  <c r="O78" i="3"/>
  <c r="Y78" i="3" s="1"/>
  <c r="O109" i="3"/>
  <c r="Y109" i="3" s="1"/>
  <c r="O23" i="3"/>
  <c r="Y23" i="3" s="1"/>
  <c r="O113" i="3"/>
  <c r="Y113" i="3" s="1"/>
  <c r="O77" i="3"/>
  <c r="Y77" i="3" s="1"/>
  <c r="O47" i="3"/>
  <c r="Y47" i="3" s="1"/>
  <c r="O112" i="3"/>
  <c r="Y112" i="3" s="1"/>
  <c r="O93" i="3"/>
  <c r="Y93" i="3" s="1"/>
  <c r="O9" i="3"/>
  <c r="G2" i="15" s="1"/>
  <c r="O67" i="3"/>
  <c r="Y67" i="3" s="1"/>
  <c r="O96" i="3"/>
  <c r="Y96" i="3" s="1"/>
  <c r="O127" i="3"/>
  <c r="Y127" i="3" s="1"/>
  <c r="O11" i="3"/>
  <c r="G4" i="15" s="1"/>
  <c r="O52" i="3"/>
  <c r="Y52" i="3" s="1"/>
  <c r="O108" i="3"/>
  <c r="Y108" i="3" s="1"/>
  <c r="O48" i="3"/>
  <c r="Y48" i="3" s="1"/>
  <c r="O49" i="3"/>
  <c r="Y49" i="3" s="1"/>
  <c r="O132" i="3"/>
  <c r="O36" i="3"/>
  <c r="Y36" i="3" s="1"/>
  <c r="O71" i="3"/>
  <c r="Y71" i="3" s="1"/>
  <c r="O101" i="3"/>
  <c r="Y101" i="3" s="1"/>
  <c r="O131" i="3"/>
  <c r="Y131" i="3" s="1"/>
  <c r="O41" i="3"/>
  <c r="Y41" i="3" s="1"/>
  <c r="O106" i="3"/>
  <c r="Y106" i="3" s="1"/>
  <c r="O54" i="3"/>
  <c r="Y54" i="3" s="1"/>
  <c r="O83" i="3"/>
  <c r="Y83" i="3" s="1"/>
  <c r="O114" i="3"/>
  <c r="Y114" i="3" s="1"/>
  <c r="O99" i="3"/>
  <c r="Y99" i="3" s="1"/>
  <c r="O37" i="3"/>
  <c r="Y37" i="3" s="1"/>
  <c r="O65" i="3"/>
  <c r="Y65" i="3" s="1"/>
  <c r="O125" i="3"/>
  <c r="Y125" i="3" s="1"/>
  <c r="O15" i="3"/>
  <c r="Y15" i="3" s="1"/>
  <c r="O19" i="3"/>
  <c r="Y19" i="3" s="1"/>
  <c r="O124" i="3"/>
  <c r="Y124" i="3" s="1"/>
  <c r="O73" i="3"/>
  <c r="Y73" i="3" s="1"/>
  <c r="O27" i="3"/>
  <c r="Y27" i="3" s="1"/>
  <c r="O126" i="3"/>
  <c r="Y126" i="3" s="1"/>
  <c r="O87" i="3"/>
  <c r="Y87" i="3" s="1"/>
  <c r="O39" i="3"/>
  <c r="Y39" i="3" s="1"/>
  <c r="O21" i="3"/>
  <c r="Y21" i="3" s="1"/>
  <c r="O88" i="3"/>
  <c r="Y88" i="3" s="1"/>
  <c r="O50" i="3"/>
  <c r="Y50" i="3" s="1"/>
  <c r="O64" i="3"/>
  <c r="Y64" i="3" s="1"/>
  <c r="O94" i="3"/>
  <c r="Y94" i="3" s="1"/>
  <c r="O118" i="3"/>
  <c r="Y118" i="3" s="1"/>
  <c r="O74" i="3"/>
  <c r="Y74" i="3" s="1"/>
  <c r="O128" i="3"/>
  <c r="Y128" i="3" s="1"/>
  <c r="O68" i="3"/>
  <c r="Y68" i="3" s="1"/>
  <c r="O119" i="3"/>
  <c r="Y119" i="3" s="1"/>
  <c r="O51" i="3"/>
  <c r="Y51" i="3" s="1"/>
  <c r="O40" i="3"/>
  <c r="Y40" i="3" s="1"/>
  <c r="O14" i="3"/>
  <c r="Y14" i="3" s="1"/>
  <c r="O45" i="3"/>
  <c r="Y45" i="3" s="1"/>
  <c r="O91" i="3"/>
  <c r="Y91" i="3" s="1"/>
  <c r="O120" i="3"/>
  <c r="Y120" i="3" s="1"/>
  <c r="O17" i="3"/>
  <c r="Y17" i="3" s="1"/>
  <c r="O79" i="3"/>
  <c r="Y79" i="3" s="1"/>
  <c r="O16" i="3"/>
  <c r="Y16" i="3" s="1"/>
  <c r="O80" i="3"/>
  <c r="Y80" i="3" s="1"/>
  <c r="O12" i="3"/>
  <c r="O102" i="3"/>
  <c r="Y102" i="3" s="1"/>
  <c r="O121" i="3"/>
  <c r="Y121" i="3" s="1"/>
  <c r="O90" i="3"/>
  <c r="Y90" i="3" s="1"/>
  <c r="O30" i="3"/>
  <c r="Y30" i="3" s="1"/>
  <c r="O82" i="3"/>
  <c r="Y82" i="3" s="1"/>
  <c r="O22" i="3"/>
  <c r="Y22" i="3" s="1"/>
  <c r="O72" i="3"/>
  <c r="Y72" i="3" s="1"/>
  <c r="O69" i="3"/>
  <c r="Y69" i="3" s="1"/>
  <c r="O34" i="3"/>
  <c r="Y34" i="3" s="1"/>
  <c r="O130" i="3"/>
  <c r="Y130" i="3" s="1"/>
  <c r="O46" i="3"/>
  <c r="Y46" i="3" s="1"/>
  <c r="O85" i="3"/>
  <c r="Y85" i="3" s="1"/>
  <c r="O86" i="3"/>
  <c r="Y86" i="3" s="1"/>
  <c r="O26" i="3"/>
  <c r="Y26" i="3" s="1"/>
  <c r="O61" i="3"/>
  <c r="Y61" i="3" s="1"/>
  <c r="O98" i="3"/>
  <c r="Y98" i="3" s="1"/>
  <c r="I4" i="15"/>
  <c r="Z15" i="3"/>
  <c r="Z13" i="3"/>
  <c r="Z14" i="3"/>
  <c r="X12" i="3"/>
  <c r="X109" i="3"/>
  <c r="X122" i="3"/>
  <c r="X18" i="3"/>
  <c r="X39" i="3"/>
  <c r="X34" i="3"/>
  <c r="X33" i="3"/>
  <c r="X95" i="3"/>
  <c r="X52" i="3"/>
  <c r="X23" i="3"/>
  <c r="X81" i="3"/>
  <c r="X125" i="3"/>
  <c r="X87" i="3"/>
  <c r="X117" i="3"/>
  <c r="X72" i="3"/>
  <c r="X32" i="3"/>
  <c r="X131" i="3"/>
  <c r="X105" i="3"/>
  <c r="X98" i="3"/>
  <c r="X84" i="3"/>
  <c r="X21" i="3"/>
  <c r="X113" i="3"/>
  <c r="X49" i="3"/>
  <c r="X108" i="3"/>
  <c r="X90" i="3"/>
  <c r="X69" i="3"/>
  <c r="X88" i="3"/>
  <c r="X30" i="3"/>
  <c r="X24" i="3"/>
  <c r="X86" i="3"/>
  <c r="X85" i="3"/>
  <c r="X40" i="3"/>
  <c r="X107" i="3"/>
  <c r="X129" i="3"/>
  <c r="X96" i="3"/>
  <c r="X74" i="3"/>
  <c r="X104" i="3"/>
  <c r="X99" i="3"/>
  <c r="X101" i="3"/>
  <c r="X119" i="3"/>
  <c r="X121" i="3"/>
  <c r="X124" i="3"/>
  <c r="X13" i="3"/>
  <c r="X64" i="3"/>
  <c r="X67" i="3"/>
  <c r="X54" i="3"/>
  <c r="X22" i="3"/>
  <c r="X100" i="3"/>
  <c r="X83" i="3"/>
  <c r="X97" i="3"/>
  <c r="X38" i="3"/>
  <c r="X61" i="3"/>
  <c r="X123" i="3"/>
  <c r="X127" i="3"/>
  <c r="X111" i="3"/>
  <c r="X92" i="3"/>
  <c r="X82" i="3"/>
  <c r="X112" i="3"/>
  <c r="X35" i="3"/>
  <c r="X26" i="3"/>
  <c r="X70" i="3"/>
  <c r="X58" i="3"/>
  <c r="X46" i="3"/>
  <c r="X55" i="3"/>
  <c r="X94" i="3"/>
  <c r="X130" i="3"/>
  <c r="X133" i="3"/>
  <c r="X120" i="3"/>
  <c r="X51" i="3"/>
  <c r="X50" i="3"/>
  <c r="X48" i="3"/>
  <c r="X62" i="3"/>
  <c r="X77" i="3"/>
  <c r="X44" i="3"/>
  <c r="X115" i="3"/>
  <c r="X37" i="3"/>
  <c r="X28" i="3"/>
  <c r="X57" i="3"/>
  <c r="X59" i="3"/>
  <c r="X53" i="3"/>
  <c r="X14" i="3"/>
  <c r="X25" i="3"/>
  <c r="X43" i="3"/>
  <c r="X27" i="3"/>
  <c r="X36" i="3"/>
  <c r="X63" i="3"/>
  <c r="X78" i="3"/>
  <c r="X114" i="3"/>
  <c r="X31" i="3"/>
  <c r="X73" i="3"/>
  <c r="X20" i="3"/>
  <c r="X132" i="3"/>
  <c r="X102" i="3"/>
  <c r="X66" i="3"/>
  <c r="X75" i="3"/>
  <c r="X65" i="3"/>
  <c r="X80" i="3"/>
  <c r="X126" i="3"/>
  <c r="X118" i="3"/>
  <c r="X19" i="3"/>
  <c r="X60" i="3"/>
  <c r="X79" i="3"/>
  <c r="X68" i="3"/>
  <c r="X71" i="3"/>
  <c r="X47" i="3"/>
  <c r="X91" i="3"/>
  <c r="X15" i="3"/>
  <c r="X17" i="3"/>
  <c r="X89" i="3"/>
  <c r="X116" i="3"/>
  <c r="X56" i="3"/>
  <c r="X93" i="3"/>
  <c r="X110" i="3"/>
  <c r="X41" i="3"/>
  <c r="X76" i="3"/>
  <c r="X16" i="3"/>
  <c r="X45" i="3"/>
  <c r="X128" i="3"/>
  <c r="X29" i="3"/>
  <c r="X106" i="3"/>
  <c r="X103" i="3"/>
  <c r="X42" i="3"/>
  <c r="Z12" i="3" l="1"/>
  <c r="AC6" i="3" s="1"/>
  <c r="Y12" i="3"/>
  <c r="AB6" i="3" s="1"/>
  <c r="M2" i="9"/>
  <c r="G19" i="15"/>
  <c r="G73" i="15"/>
  <c r="G33" i="15"/>
  <c r="G121" i="15"/>
  <c r="G32" i="15"/>
  <c r="G89" i="15"/>
  <c r="G18" i="15"/>
  <c r="G103" i="15"/>
  <c r="G115" i="15"/>
  <c r="G79" i="15"/>
  <c r="G123" i="15"/>
  <c r="G15" i="15"/>
  <c r="G114" i="15"/>
  <c r="G9" i="15"/>
  <c r="G84" i="15"/>
  <c r="G44" i="15"/>
  <c r="G67" i="15"/>
  <c r="G43" i="15"/>
  <c r="G80" i="15"/>
  <c r="G58" i="15"/>
  <c r="G76" i="15"/>
  <c r="G124" i="15"/>
  <c r="G45" i="15"/>
  <c r="G60" i="15"/>
  <c r="G40" i="15"/>
  <c r="G102" i="15"/>
  <c r="G25" i="15"/>
  <c r="G104" i="15"/>
  <c r="G96" i="15"/>
  <c r="G108" i="15"/>
  <c r="G98" i="15"/>
  <c r="G110" i="15"/>
  <c r="G26" i="15"/>
  <c r="G109" i="15"/>
  <c r="G53" i="15"/>
  <c r="G65" i="15"/>
  <c r="G101" i="15"/>
  <c r="G105" i="15"/>
  <c r="G16" i="15"/>
  <c r="G50" i="15"/>
  <c r="G74" i="15"/>
  <c r="G52" i="15"/>
  <c r="G51" i="15"/>
  <c r="G46" i="15"/>
  <c r="G91" i="15"/>
  <c r="G78" i="15"/>
  <c r="G27" i="15"/>
  <c r="G75" i="15"/>
  <c r="G95" i="15"/>
  <c r="G72" i="15"/>
  <c r="G38" i="15"/>
  <c r="G112" i="15"/>
  <c r="G111" i="15"/>
  <c r="G81" i="15"/>
  <c r="G119" i="15"/>
  <c r="G12" i="15"/>
  <c r="G30" i="15"/>
  <c r="G47" i="15"/>
  <c r="G94" i="15"/>
  <c r="G42" i="15"/>
  <c r="G70" i="15"/>
  <c r="G71" i="15"/>
  <c r="G17" i="15"/>
  <c r="G93" i="15"/>
  <c r="G24" i="15"/>
  <c r="G63" i="15"/>
  <c r="G90" i="15"/>
  <c r="G22" i="15"/>
  <c r="G35" i="15"/>
  <c r="G100" i="15"/>
  <c r="G59" i="15"/>
  <c r="G83" i="15"/>
  <c r="G21" i="15"/>
  <c r="G54" i="15"/>
  <c r="G62" i="15"/>
  <c r="G23" i="15"/>
  <c r="G61" i="15"/>
  <c r="G87" i="15"/>
  <c r="G14" i="15"/>
  <c r="G20" i="15"/>
  <c r="I8" i="15"/>
  <c r="G92" i="15"/>
  <c r="G99" i="15"/>
  <c r="G64" i="15"/>
  <c r="G120" i="15"/>
  <c r="G86" i="15"/>
  <c r="G36" i="15"/>
  <c r="G85" i="15"/>
  <c r="G37" i="15"/>
  <c r="G88" i="15"/>
  <c r="G68" i="15"/>
  <c r="G49" i="15"/>
  <c r="G13" i="15"/>
  <c r="I13" i="15"/>
  <c r="G10" i="15"/>
  <c r="G11" i="15"/>
  <c r="H48" i="15"/>
  <c r="I48" i="15"/>
  <c r="G48" i="15"/>
  <c r="I6" i="15"/>
  <c r="H21" i="15"/>
  <c r="H49" i="15"/>
  <c r="I21" i="15"/>
  <c r="I49" i="15"/>
  <c r="H59" i="15"/>
  <c r="I59" i="15"/>
  <c r="H69" i="15"/>
  <c r="H126" i="15"/>
  <c r="H100" i="15"/>
  <c r="H46" i="15"/>
  <c r="I69" i="15"/>
  <c r="G126" i="15"/>
  <c r="I100" i="15"/>
  <c r="G69" i="15"/>
  <c r="I46" i="15"/>
  <c r="H115" i="15"/>
  <c r="H53" i="15"/>
  <c r="H109" i="15"/>
  <c r="H35" i="15"/>
  <c r="H31" i="15"/>
  <c r="H51" i="15"/>
  <c r="H22" i="15"/>
  <c r="H68" i="15"/>
  <c r="I115" i="15"/>
  <c r="I53" i="15"/>
  <c r="G6" i="15"/>
  <c r="I109" i="15"/>
  <c r="I35" i="15"/>
  <c r="I31" i="15"/>
  <c r="I51" i="15"/>
  <c r="G31" i="15"/>
  <c r="I22" i="15"/>
  <c r="I68" i="15"/>
  <c r="H55" i="15"/>
  <c r="H97" i="15"/>
  <c r="H6" i="15"/>
  <c r="H52" i="15"/>
  <c r="H110" i="15"/>
  <c r="H26" i="15"/>
  <c r="I55" i="15"/>
  <c r="I97" i="15"/>
  <c r="G55" i="15"/>
  <c r="G97" i="15"/>
  <c r="I52" i="15"/>
  <c r="I110" i="15"/>
  <c r="I26" i="15"/>
  <c r="H11" i="15"/>
  <c r="H108" i="15"/>
  <c r="H98" i="15"/>
  <c r="H88" i="15"/>
  <c r="H13" i="15"/>
  <c r="H63" i="15"/>
  <c r="H90" i="15"/>
  <c r="I11" i="15"/>
  <c r="I108" i="15"/>
  <c r="I98" i="15"/>
  <c r="I88" i="15"/>
  <c r="I63" i="15"/>
  <c r="I90" i="15"/>
  <c r="G5" i="15"/>
  <c r="H38" i="15"/>
  <c r="H121" i="15"/>
  <c r="H57" i="15"/>
  <c r="H80" i="15"/>
  <c r="H66" i="15"/>
  <c r="H8" i="15"/>
  <c r="H107" i="15"/>
  <c r="H34" i="15"/>
  <c r="H29" i="15"/>
  <c r="H41" i="15"/>
  <c r="H89" i="15"/>
  <c r="H40" i="15"/>
  <c r="H70" i="15"/>
  <c r="H82" i="15"/>
  <c r="H56" i="15"/>
  <c r="H77" i="15"/>
  <c r="H28" i="15"/>
  <c r="H9" i="15"/>
  <c r="H10" i="15"/>
  <c r="H33" i="15"/>
  <c r="H67" i="15"/>
  <c r="H119" i="15"/>
  <c r="H20" i="15"/>
  <c r="H76" i="15"/>
  <c r="H124" i="15"/>
  <c r="H101" i="15"/>
  <c r="H60" i="15"/>
  <c r="H102" i="15"/>
  <c r="H25" i="15"/>
  <c r="H50" i="15"/>
  <c r="H104" i="15"/>
  <c r="H93" i="15"/>
  <c r="H74" i="15"/>
  <c r="H72" i="15"/>
  <c r="H113" i="15"/>
  <c r="H7" i="15"/>
  <c r="H44" i="15"/>
  <c r="H111" i="15"/>
  <c r="H43" i="15"/>
  <c r="H14" i="15"/>
  <c r="H117" i="15"/>
  <c r="H118" i="15"/>
  <c r="H30" i="15"/>
  <c r="H47" i="15"/>
  <c r="H94" i="15"/>
  <c r="H125" i="15"/>
  <c r="H45" i="15"/>
  <c r="H106" i="15"/>
  <c r="H71" i="15"/>
  <c r="H116" i="15"/>
  <c r="H122" i="15"/>
  <c r="H96" i="15"/>
  <c r="H37" i="15"/>
  <c r="H73" i="15"/>
  <c r="H84" i="15"/>
  <c r="H112" i="15"/>
  <c r="H61" i="15"/>
  <c r="H87" i="15"/>
  <c r="H81" i="15"/>
  <c r="H32" i="15"/>
  <c r="H12" i="15"/>
  <c r="H58" i="15"/>
  <c r="H92" i="15"/>
  <c r="H99" i="15"/>
  <c r="H64" i="15"/>
  <c r="H42" i="15"/>
  <c r="H120" i="15"/>
  <c r="H86" i="15"/>
  <c r="H105" i="15"/>
  <c r="H16" i="15"/>
  <c r="H36" i="15"/>
  <c r="H85" i="15"/>
  <c r="H17" i="15"/>
  <c r="H18" i="15"/>
  <c r="H24" i="15"/>
  <c r="H103" i="15"/>
  <c r="I38" i="15"/>
  <c r="I121" i="15"/>
  <c r="I57" i="15"/>
  <c r="I80" i="15"/>
  <c r="I66" i="15"/>
  <c r="I107" i="15"/>
  <c r="I34" i="15"/>
  <c r="I29" i="15"/>
  <c r="I41" i="15"/>
  <c r="I89" i="15"/>
  <c r="I40" i="15"/>
  <c r="I70" i="15"/>
  <c r="I82" i="15"/>
  <c r="I56" i="15"/>
  <c r="I77" i="15"/>
  <c r="I28" i="15"/>
  <c r="G82" i="15"/>
  <c r="G57" i="15"/>
  <c r="G41" i="15"/>
  <c r="G29" i="15"/>
  <c r="G34" i="15"/>
  <c r="G107" i="15"/>
  <c r="I9" i="15"/>
  <c r="I10" i="15"/>
  <c r="I33" i="15"/>
  <c r="I67" i="15"/>
  <c r="I119" i="15"/>
  <c r="I20" i="15"/>
  <c r="I76" i="15"/>
  <c r="I124" i="15"/>
  <c r="I101" i="15"/>
  <c r="I60" i="15"/>
  <c r="I102" i="15"/>
  <c r="I25" i="15"/>
  <c r="I50" i="15"/>
  <c r="I104" i="15"/>
  <c r="I93" i="15"/>
  <c r="I74" i="15"/>
  <c r="I72" i="15"/>
  <c r="I113" i="15"/>
  <c r="I44" i="15"/>
  <c r="I111" i="15"/>
  <c r="I43" i="15"/>
  <c r="I14" i="15"/>
  <c r="I117" i="15"/>
  <c r="I118" i="15"/>
  <c r="I30" i="15"/>
  <c r="I47" i="15"/>
  <c r="I94" i="15"/>
  <c r="G125" i="15"/>
  <c r="I45" i="15"/>
  <c r="I106" i="15"/>
  <c r="I71" i="15"/>
  <c r="I116" i="15"/>
  <c r="I122" i="15"/>
  <c r="I96" i="15"/>
  <c r="I37" i="15"/>
  <c r="G7" i="15"/>
  <c r="G8" i="15"/>
  <c r="G66" i="15"/>
  <c r="G56" i="15"/>
  <c r="G116" i="15"/>
  <c r="G113" i="15"/>
  <c r="G106" i="15"/>
  <c r="G118" i="15"/>
  <c r="G117" i="15"/>
  <c r="G77" i="15"/>
  <c r="G28" i="15"/>
  <c r="G122" i="15"/>
  <c r="I7" i="15"/>
  <c r="I73" i="15"/>
  <c r="I84" i="15"/>
  <c r="I112" i="15"/>
  <c r="I61" i="15"/>
  <c r="I87" i="15"/>
  <c r="I81" i="15"/>
  <c r="I32" i="15"/>
  <c r="I12" i="15"/>
  <c r="I58" i="15"/>
  <c r="I92" i="15"/>
  <c r="I99" i="15"/>
  <c r="I64" i="15"/>
  <c r="I42" i="15"/>
  <c r="I120" i="15"/>
  <c r="I86" i="15"/>
  <c r="I105" i="15"/>
  <c r="I16" i="15"/>
  <c r="I36" i="15"/>
  <c r="I85" i="15"/>
  <c r="I17" i="15"/>
  <c r="I18" i="15"/>
  <c r="I24" i="15"/>
  <c r="I103" i="15"/>
  <c r="H5" i="15"/>
  <c r="H95" i="15"/>
  <c r="I95" i="15"/>
  <c r="H114" i="15"/>
  <c r="I114" i="15"/>
  <c r="H83" i="15"/>
  <c r="I83" i="15"/>
  <c r="H23" i="15"/>
  <c r="I23" i="15"/>
  <c r="H15" i="15"/>
  <c r="H75" i="15"/>
  <c r="I15" i="15"/>
  <c r="I75" i="15"/>
  <c r="H65" i="15"/>
  <c r="I65" i="15"/>
  <c r="E9" i="8"/>
  <c r="H62" i="15"/>
  <c r="I62" i="15"/>
  <c r="H27" i="15"/>
  <c r="I27" i="15"/>
  <c r="H123" i="15"/>
  <c r="I123" i="15"/>
  <c r="H54" i="15"/>
  <c r="H19" i="15"/>
  <c r="H39" i="15"/>
  <c r="H91" i="15"/>
  <c r="H78" i="15"/>
  <c r="H79" i="15"/>
  <c r="I54" i="15"/>
  <c r="I19" i="15"/>
  <c r="I39" i="15"/>
  <c r="G39" i="15"/>
  <c r="I91" i="15"/>
  <c r="I78" i="15"/>
  <c r="I79" i="15"/>
  <c r="I5" i="15" l="1"/>
  <c r="K9" i="8"/>
  <c r="J4" i="3"/>
  <c r="R1" i="3" s="1"/>
  <c r="M8" i="8" s="1"/>
  <c r="U2" i="9" l="1"/>
</calcChain>
</file>

<file path=xl/comments1.xml><?xml version="1.0" encoding="utf-8"?>
<comments xmlns="http://schemas.openxmlformats.org/spreadsheetml/2006/main">
  <authors>
    <author xml:space="preserve"> </author>
    <author>James Swirhun</author>
    <author>ablum</author>
  </authors>
  <commentList>
    <comment ref="A5" authorId="0">
      <text>
        <r>
          <rPr>
            <b/>
            <sz val="10"/>
            <color indexed="81"/>
            <rFont val="Tahoma"/>
            <family val="2"/>
          </rPr>
          <t>The Sample Name is also used for the filename when saving data so avoid special characters: / ? * etc</t>
        </r>
      </text>
    </comment>
    <comment ref="B5" authorId="0">
      <text>
        <r>
          <rPr>
            <b/>
            <sz val="10"/>
            <color indexed="81"/>
            <rFont val="Tahoma"/>
            <family val="2"/>
          </rPr>
          <t>Thickness of the wafer in cm
e.g. A 100 µm wafer is 0.01 cm thick.</t>
        </r>
      </text>
    </comment>
    <comment ref="C5" authorId="0">
      <text>
        <r>
          <rPr>
            <b/>
            <sz val="10"/>
            <color indexed="81"/>
            <rFont val="Tahoma"/>
            <family val="2"/>
          </rPr>
          <t>Wafer bulk resistivity.</t>
        </r>
        <r>
          <rPr>
            <b/>
            <sz val="10"/>
            <color indexed="10"/>
            <rFont val="Tahoma"/>
            <family val="2"/>
          </rPr>
          <t xml:space="preserve">
An accurate resistivity (not nominal) is required for accurate calculation of Implied Voc.</t>
        </r>
      </text>
    </comment>
    <comment ref="D5" authorId="1">
      <text>
        <r>
          <rPr>
            <b/>
            <sz val="10"/>
            <color indexed="81"/>
            <rFont val="Tahoma"/>
            <family val="2"/>
          </rPr>
          <t xml:space="preserve">Select p-type or n-type from the drop-down menu.
</t>
        </r>
      </text>
    </comment>
    <comment ref="E5" authorId="0">
      <text>
        <r>
          <rPr>
            <b/>
            <sz val="10"/>
            <color indexed="81"/>
            <rFont val="Tahoma"/>
            <family val="2"/>
          </rPr>
          <t>Photogeneration fraction compared to 38 mA/cm² default.  See User Manual for more details.</t>
        </r>
      </text>
    </comment>
    <comment ref="F5" authorId="0">
      <text>
        <r>
          <rPr>
            <b/>
            <sz val="10"/>
            <color indexed="81"/>
            <rFont val="Tahoma"/>
            <family val="2"/>
          </rPr>
          <t>Minority Carrier Density (MCD) for calculating the lifetime. For most materials the lifetime is not a single parameter but a function of minority carrier density.</t>
        </r>
      </text>
    </comment>
    <comment ref="G5" authorId="0">
      <text>
        <r>
          <rPr>
            <b/>
            <sz val="10"/>
            <color indexed="81"/>
            <rFont val="Tahoma"/>
            <family val="2"/>
          </rPr>
          <t>Light bias corrects traps and removes anomalously high lifetimes in QSS mode.  Not necessary for all samples or in transient mode.  See user manual for more details on how to recognize a sample with trapping.
Typically bias light should be set to 3 suns if trapping is apparent in the signal.</t>
        </r>
      </text>
    </comment>
    <comment ref="H5" authorId="0">
      <text>
        <r>
          <rPr>
            <b/>
            <sz val="10"/>
            <color indexed="81"/>
            <rFont val="Tahoma"/>
            <family val="2"/>
          </rPr>
          <t>Select Analysis Mode from Drop-down Menu.  
Use QSS mode for samples with lifetime less than 100us.  Set flash to 1/1 for QSS mode.  
Use transient mode for samples with lifetime greater than 200us, with flash set to 1/64.  For samples between 100-200us, use Generalized 1/1 or Generalized 1/64, with the corresponding flash setting.</t>
        </r>
      </text>
    </comment>
    <comment ref="I5" authorId="0">
      <text>
        <r>
          <rPr>
            <b/>
            <sz val="10"/>
            <color indexed="81"/>
            <rFont val="Tahoma"/>
            <family val="2"/>
          </rPr>
          <t>Date of the measurement</t>
        </r>
      </text>
    </comment>
    <comment ref="J5" authorId="0">
      <text>
        <r>
          <rPr>
            <b/>
            <sz val="10"/>
            <color indexed="81"/>
            <rFont val="Tahoma"/>
            <family val="2"/>
          </rPr>
          <t>Time of the Measurement</t>
        </r>
      </text>
    </comment>
    <comment ref="K5" authorId="1">
      <text>
        <r>
          <rPr>
            <b/>
            <sz val="10"/>
            <color indexed="81"/>
            <rFont val="Tahoma"/>
            <family val="2"/>
          </rPr>
          <t>Notes if data has been logged to summary file(s).  See Settings sheet for options.</t>
        </r>
      </text>
    </comment>
    <comment ref="L5" authorId="0">
      <text>
        <r>
          <rPr>
            <b/>
            <sz val="10"/>
            <color indexed="81"/>
            <rFont val="Tahoma"/>
            <family val="2"/>
          </rPr>
          <t>The specified starting temperature of the temperture sweep</t>
        </r>
      </text>
    </comment>
    <comment ref="M5" authorId="2">
      <text>
        <r>
          <rPr>
            <b/>
            <sz val="10"/>
            <color indexed="81"/>
            <rFont val="Tahoma"/>
            <family val="2"/>
          </rPr>
          <t>Specified ending temperture of the temperture sweep</t>
        </r>
        <r>
          <rPr>
            <sz val="10"/>
            <color indexed="81"/>
            <rFont val="Tahoma"/>
            <family val="2"/>
          </rPr>
          <t xml:space="preserve">
</t>
        </r>
      </text>
    </comment>
    <comment ref="N5" authorId="0">
      <text>
        <r>
          <rPr>
            <b/>
            <sz val="10"/>
            <color indexed="81"/>
            <rFont val="Tahoma"/>
            <family val="2"/>
          </rPr>
          <t>Temperature sweep step size</t>
        </r>
      </text>
    </comment>
    <comment ref="O5" authorId="0">
      <text>
        <r>
          <rPr>
            <b/>
            <sz val="10"/>
            <color indexed="81"/>
            <rFont val="Tahoma"/>
            <family val="2"/>
          </rPr>
          <t>Temperature sweep tolerance</t>
        </r>
      </text>
    </comment>
    <comment ref="A8" authorId="0">
      <text>
        <r>
          <rPr>
            <b/>
            <sz val="10"/>
            <color indexed="81"/>
            <rFont val="Tahoma"/>
            <family val="2"/>
          </rPr>
          <t>Lifetime of minority carriers at the specified MCD.
(Auger Corrected)</t>
        </r>
      </text>
    </comment>
    <comment ref="B8" authorId="0">
      <text>
        <r>
          <rPr>
            <b/>
            <sz val="10"/>
            <color indexed="81"/>
            <rFont val="Tahoma"/>
            <family val="2"/>
          </rPr>
          <t>Sheet resistivity of the entire wafer thickness.  If wafer is diffused, parallel combination of bulk and emitter diffusion.</t>
        </r>
      </text>
    </comment>
    <comment ref="C8" authorId="0">
      <text>
        <r>
          <rPr>
            <b/>
            <sz val="10"/>
            <color indexed="81"/>
            <rFont val="Tahoma"/>
            <family val="2"/>
          </rPr>
          <t>Measured wafer resistivity based on Ohm/sq and the width.  Only valid for wafers without diffusions.</t>
        </r>
      </text>
    </comment>
    <comment ref="D8" authorId="0">
      <text>
        <r>
          <rPr>
            <b/>
            <sz val="10"/>
            <color indexed="81"/>
            <rFont val="Tahoma"/>
            <family val="2"/>
          </rPr>
          <t>J0 as extracted from the slope of inverse lifetime vs MCD fit. The extracted J0 is related to the recombination in the heavily diffused regions (see user manual for more details)</t>
        </r>
      </text>
    </comment>
    <comment ref="E8" authorId="0">
      <text>
        <r>
          <rPr>
            <b/>
            <sz val="10"/>
            <color indexed="81"/>
            <rFont val="Tahoma"/>
            <family val="2"/>
          </rPr>
          <t>Fit intercept used to estimate bulk lifetime from the inverse lifetime vs MCD fit.  Only valid for wafers with diffusion.  It is usually different to the low level injection lifetime.</t>
        </r>
      </text>
    </comment>
    <comment ref="F8" authorId="0">
      <text>
        <r>
          <rPr>
            <b/>
            <sz val="10"/>
            <color indexed="81"/>
            <rFont val="Tahoma"/>
            <family val="2"/>
          </rPr>
          <t>Minimum Apparent Minority Carrier Density (MCD).</t>
        </r>
      </text>
    </comment>
    <comment ref="G8" authorId="1">
      <text>
        <r>
          <rPr>
            <b/>
            <sz val="10"/>
            <color indexed="81"/>
            <rFont val="Tahoma"/>
            <family val="2"/>
          </rPr>
          <t>Maximum Apparent Minority Carrier Density (MCD).</t>
        </r>
      </text>
    </comment>
    <comment ref="H8" authorId="0">
      <text>
        <r>
          <rPr>
            <b/>
            <sz val="10"/>
            <color indexed="81"/>
            <rFont val="Tahoma"/>
            <family val="2"/>
          </rPr>
          <t>Bias Point Carrier Density</t>
        </r>
      </text>
    </comment>
    <comment ref="I8" authorId="0">
      <text>
        <r>
          <rPr>
            <b/>
            <sz val="10"/>
            <color indexed="81"/>
            <rFont val="Tahoma"/>
            <family val="2"/>
          </rPr>
          <t>The density of electron-hole pairs with the equivalent conductance as the trap density.</t>
        </r>
        <r>
          <rPr>
            <sz val="8"/>
            <color indexed="81"/>
            <rFont val="Tahoma"/>
            <family val="2"/>
          </rPr>
          <t xml:space="preserve">
</t>
        </r>
      </text>
    </comment>
    <comment ref="J8" authorId="0">
      <text>
        <r>
          <rPr>
            <b/>
            <sz val="10"/>
            <color indexed="81"/>
            <rFont val="Tahoma"/>
            <family val="2"/>
          </rPr>
          <t>The wafer doping of the base region as calculated from the resistivity and dopant type.</t>
        </r>
      </text>
    </comment>
    <comment ref="K8" authorId="1">
      <text>
        <r>
          <rPr>
            <b/>
            <sz val="10"/>
            <color indexed="81"/>
            <rFont val="Tahoma"/>
            <family val="2"/>
          </rPr>
          <t>The Implied Voc at an intensity of 1 sun.  This value depends heavily on the input resistivity.</t>
        </r>
      </text>
    </comment>
    <comment ref="L8" authorId="1">
      <text>
        <r>
          <rPr>
            <b/>
            <sz val="10"/>
            <color indexed="81"/>
            <rFont val="Tahoma"/>
            <family val="2"/>
          </rPr>
          <t>The measured temperature at which the data is analyzed.</t>
        </r>
      </text>
    </comment>
    <comment ref="M8" authorId="1">
      <text>
        <r>
          <rPr>
            <b/>
            <sz val="10"/>
            <color indexed="81"/>
            <rFont val="Tahoma"/>
            <family val="2"/>
          </rPr>
          <t xml:space="preserve">How to Fix Error Messages:
1. </t>
        </r>
        <r>
          <rPr>
            <b/>
            <sz val="11"/>
            <color indexed="81"/>
            <rFont val="Tahoma"/>
            <family val="2"/>
          </rPr>
          <t>Saturated Reference Cell:</t>
        </r>
        <r>
          <rPr>
            <b/>
            <sz val="10"/>
            <color indexed="81"/>
            <rFont val="Tahoma"/>
            <family val="2"/>
          </rPr>
          <t xml:space="preserve"> Decrease peak light intensity by raising flash height or adding additional filters.  Data at lower MCD/intensit is still valid.
2. Choose Specified MCD within Data: The Specified MCD is not between the Min and Max MCD.  Ensure Sample and Analysis Parameters are correct and select Specified MCD between Min and Max MCD.  To reach higher Max MCD, increase illumination intensity.  To reach lower Min MCD, decrease illumination intensity or extend data acquisition time from Settings page.
3. </t>
        </r>
        <r>
          <rPr>
            <b/>
            <sz val="11"/>
            <color indexed="81"/>
            <rFont val="Tahoma"/>
            <family val="2"/>
          </rPr>
          <t>Re-Zero Instrument</t>
        </r>
        <r>
          <rPr>
            <b/>
            <sz val="10"/>
            <color indexed="81"/>
            <rFont val="Tahoma"/>
            <family val="2"/>
          </rPr>
          <t>: The "Zero Instrument" routine has not been run in the past 12 hours OR the air voltage is out of the normal range.  Remove samples from the instrument stage and press the "Zero Instrument" Button.
4. Choose Bias Light within Data: Select a light bias value within the range of measured illumination intensities.</t>
        </r>
      </text>
    </comment>
  </commentList>
</comments>
</file>

<file path=xl/comments2.xml><?xml version="1.0" encoding="utf-8"?>
<comments xmlns="http://schemas.openxmlformats.org/spreadsheetml/2006/main">
  <authors>
    <author>Adrienne Blum</author>
    <author>James Swirhun</author>
    <author xml:space="preserve"> </author>
    <author>Office</author>
  </authors>
  <commentList>
    <comment ref="B3" authorId="0">
      <text>
        <r>
          <rPr>
            <b/>
            <sz val="8"/>
            <color indexed="81"/>
            <rFont val="Tahoma"/>
            <family val="2"/>
          </rPr>
          <t xml:space="preserve">Instrument Type
</t>
        </r>
      </text>
    </comment>
    <comment ref="B4" authorId="1">
      <text>
        <r>
          <rPr>
            <b/>
            <sz val="8"/>
            <color indexed="81"/>
            <rFont val="Tahoma"/>
            <family val="2"/>
          </rPr>
          <t>Instrument Serial Number</t>
        </r>
      </text>
    </comment>
    <comment ref="F4" authorId="1">
      <text>
        <r>
          <rPr>
            <b/>
            <sz val="8"/>
            <color indexed="81"/>
            <rFont val="Tahoma"/>
            <family val="2"/>
          </rPr>
          <t>Save summary of measurement of to Excel summary File.  Location can be specified as file path, otherwise default is to save to same location as measurement file.</t>
        </r>
      </text>
    </comment>
    <comment ref="B5" authorId="2">
      <text>
        <r>
          <rPr>
            <b/>
            <sz val="8"/>
            <color indexed="81"/>
            <rFont val="Tahoma"/>
            <family val="2"/>
          </rPr>
          <t>Calibration constant of the reference  cell that measures the light intensity.  Do Not Change this Value.</t>
        </r>
      </text>
    </comment>
    <comment ref="F5" authorId="1">
      <text>
        <r>
          <rPr>
            <b/>
            <sz val="8"/>
            <color indexed="81"/>
            <rFont val="Tahoma"/>
            <family val="2"/>
          </rPr>
          <t>Save summary of measurement of to Text File.  Location can be specified as file path, otherwise default is to save to same location as measurement file.</t>
        </r>
      </text>
    </comment>
    <comment ref="B6" authorId="2">
      <text>
        <r>
          <rPr>
            <b/>
            <sz val="8"/>
            <color indexed="81"/>
            <rFont val="Tahoma"/>
            <family val="2"/>
          </rPr>
          <t xml:space="preserve">Calibration of the photoconductivity sensor.  </t>
        </r>
      </text>
    </comment>
    <comment ref="F6" authorId="1">
      <text>
        <r>
          <rPr>
            <b/>
            <sz val="8"/>
            <color indexed="81"/>
            <rFont val="Tahoma"/>
            <family val="2"/>
          </rPr>
          <t>Save summary of measurement of to Access Database.  Location can be specified as file path, otherwise default is to save to same location as measurement file.</t>
        </r>
      </text>
    </comment>
    <comment ref="F7" authorId="1">
      <text>
        <r>
          <rPr>
            <b/>
            <sz val="8"/>
            <color indexed="81"/>
            <rFont val="Tahoma"/>
            <family val="2"/>
          </rPr>
          <t xml:space="preserve">True to automatically save summary of each measurement to files specified above.  </t>
        </r>
      </text>
    </comment>
    <comment ref="F11" authorId="1">
      <text>
        <r>
          <rPr>
            <b/>
            <sz val="8"/>
            <color indexed="81"/>
            <rFont val="Tahoma"/>
            <family val="2"/>
          </rPr>
          <t>True to Automatically save a new Excel measurement file as SampleName.xlsm.</t>
        </r>
      </text>
    </comment>
    <comment ref="B13" authorId="2">
      <text>
        <r>
          <rPr>
            <b/>
            <sz val="8"/>
            <color indexed="81"/>
            <rFont val="Tahoma"/>
            <family val="2"/>
          </rPr>
          <t>Don't change this value</t>
        </r>
      </text>
    </comment>
    <comment ref="B14" authorId="2">
      <text>
        <r>
          <rPr>
            <b/>
            <sz val="8"/>
            <color indexed="81"/>
            <rFont val="Tahoma"/>
            <family val="2"/>
          </rPr>
          <t>Normally Set do DC.</t>
        </r>
      </text>
    </comment>
    <comment ref="F14" authorId="1">
      <text>
        <r>
          <rPr>
            <b/>
            <sz val="8"/>
            <color indexed="81"/>
            <rFont val="Tahoma"/>
            <family val="2"/>
          </rPr>
          <t>True to automatically rescale graphs after each measurement.</t>
        </r>
      </text>
    </comment>
    <comment ref="B15" authorId="3">
      <text>
        <r>
          <rPr>
            <b/>
            <sz val="8"/>
            <color indexed="81"/>
            <rFont val="Tahoma"/>
            <family val="2"/>
          </rPr>
          <t xml:space="preserve">For standard instrument = 1.  </t>
        </r>
      </text>
    </comment>
    <comment ref="B16" authorId="2">
      <text>
        <r>
          <rPr>
            <b/>
            <sz val="8"/>
            <color indexed="81"/>
            <rFont val="Tahoma"/>
            <family val="2"/>
          </rPr>
          <t xml:space="preserve">Fit will cover specified carrier density +/- Fit Range.
</t>
        </r>
      </text>
    </comment>
    <comment ref="B17" authorId="2">
      <text>
        <r>
          <rPr>
            <b/>
            <sz val="8"/>
            <color indexed="81"/>
            <rFont val="Tahoma"/>
            <family val="2"/>
          </rPr>
          <t xml:space="preserve">Sinton Auger model implemented
</t>
        </r>
      </text>
    </comment>
    <comment ref="F17" authorId="1">
      <text>
        <r>
          <rPr>
            <b/>
            <sz val="8"/>
            <color indexed="81"/>
            <rFont val="Tahoma"/>
            <family val="2"/>
          </rPr>
          <t>Set to TRUE to enable the "Taking Data" Screen.  False to just take a measurement without making adjustments.</t>
        </r>
      </text>
    </comment>
    <comment ref="B18" authorId="0">
      <text>
        <r>
          <rPr>
            <b/>
            <sz val="9"/>
            <color indexed="81"/>
            <rFont val="Tahoma"/>
            <family val="2"/>
          </rPr>
          <t>For temperatures above 30C, use Dorkel/Leturcq mobility model.</t>
        </r>
      </text>
    </comment>
    <comment ref="F20" authorId="1">
      <text>
        <r>
          <rPr>
            <b/>
            <sz val="8"/>
            <color indexed="81"/>
            <rFont val="Tahoma"/>
            <family val="2"/>
          </rPr>
          <t xml:space="preserve">Initial Value for Average Function in "Taking Data" Window.  </t>
        </r>
      </text>
    </comment>
    <comment ref="F21" authorId="1">
      <text>
        <r>
          <rPr>
            <b/>
            <sz val="8"/>
            <color indexed="81"/>
            <rFont val="Tahoma"/>
            <family val="2"/>
          </rPr>
          <t>Time between consectutive flashes in Average mode for QSS measurements.  Must be set to 6 seconds for flash to recharge fully.</t>
        </r>
      </text>
    </comment>
    <comment ref="F22" authorId="1">
      <text>
        <r>
          <rPr>
            <b/>
            <sz val="8"/>
            <color indexed="81"/>
            <rFont val="Tahoma"/>
            <family val="2"/>
          </rPr>
          <t>Time between consectutive flashes in Average mode for Transient measurements.  Must be set to 0.3 seconds for flash to recharge fully at 1/64.</t>
        </r>
      </text>
    </comment>
    <comment ref="F23" authorId="1">
      <text>
        <r>
          <rPr>
            <b/>
            <sz val="8"/>
            <color indexed="81"/>
            <rFont val="Tahoma"/>
            <family val="2"/>
          </rPr>
          <t>Time between consectutive flashes in Average mode for Transient measurements.  Must be set to 0.3 seconds for flash to recharge fully at 1/64.</t>
        </r>
      </text>
    </comment>
    <comment ref="F26" authorId="1">
      <text>
        <r>
          <rPr>
            <b/>
            <sz val="8"/>
            <color indexed="81"/>
            <rFont val="Tahoma"/>
            <family val="2"/>
          </rPr>
          <t>+/- voltage range for the "Zero Instrument" routine.  Typically set to 1 volt.</t>
        </r>
      </text>
    </comment>
  </commentList>
</comments>
</file>

<file path=xl/sharedStrings.xml><?xml version="1.0" encoding="utf-8"?>
<sst xmlns="http://schemas.openxmlformats.org/spreadsheetml/2006/main" count="400" uniqueCount="355">
  <si>
    <t>Ohms/sq</t>
  </si>
  <si>
    <t>Ohm-cm</t>
  </si>
  <si>
    <t>Fit Range</t>
  </si>
  <si>
    <t>"Carrier density" at bias point</t>
  </si>
  <si>
    <t>Ref (suns)</t>
  </si>
  <si>
    <t>Generation (pairs/s)</t>
  </si>
  <si>
    <t>PCD with baseline shift.</t>
  </si>
  <si>
    <t>Suns near bias point</t>
  </si>
  <si>
    <t>Delta N</t>
  </si>
  <si>
    <t>DC</t>
  </si>
  <si>
    <t>Delta Suns</t>
  </si>
  <si>
    <t>Minority Carrier Density</t>
  </si>
  <si>
    <t>dn/dt</t>
  </si>
  <si>
    <t>Analysis Parameters</t>
  </si>
  <si>
    <t>Sample Name</t>
  </si>
  <si>
    <t>Date</t>
  </si>
  <si>
    <t>Doping (cm-3)</t>
  </si>
  <si>
    <t>Traps (equiv e-h pairs)</t>
  </si>
  <si>
    <t>If h-l-i data, then Jo (A/cm2)</t>
  </si>
  <si>
    <t>Time</t>
  </si>
  <si>
    <t>Optical Constant</t>
  </si>
  <si>
    <t>Max MCD</t>
  </si>
  <si>
    <t>Log to Summary</t>
  </si>
  <si>
    <t>Results of Measurement</t>
  </si>
  <si>
    <t>Ref cell (V/sun)</t>
  </si>
  <si>
    <t>Lifetime at Spec. MCD (µs)</t>
  </si>
  <si>
    <t>n-type</t>
  </si>
  <si>
    <t>Change row 2 to control what gets sent to the summary file</t>
  </si>
  <si>
    <t>Tau fit  @ -NA</t>
  </si>
  <si>
    <t>Jo (A/cm2) 25 C</t>
  </si>
  <si>
    <t>The headings in row 1 are for reference and have no effect on program operation</t>
  </si>
  <si>
    <t>Max suns</t>
  </si>
  <si>
    <t>Name</t>
  </si>
  <si>
    <t>Width</t>
  </si>
  <si>
    <t>Doping</t>
  </si>
  <si>
    <t>Analysis</t>
  </si>
  <si>
    <t>Lifetime</t>
  </si>
  <si>
    <t>Ohmsqr</t>
  </si>
  <si>
    <t>Ohmcm</t>
  </si>
  <si>
    <t>TauFit</t>
  </si>
  <si>
    <t>J0</t>
  </si>
  <si>
    <t>Row 10 is for updating an access database File Summary.mdb The names below must match the column headings in the db file.</t>
  </si>
  <si>
    <t>For both text files and database files only that data that has a heading below gets updates (see manual for more details)</t>
  </si>
  <si>
    <t>Traps</t>
  </si>
  <si>
    <t>Max Suns</t>
  </si>
  <si>
    <t>MaxSuns</t>
  </si>
  <si>
    <t>MaxMCD</t>
  </si>
  <si>
    <t>Conductivity increase</t>
  </si>
  <si>
    <t>Version</t>
  </si>
  <si>
    <t>dc</t>
  </si>
  <si>
    <t>Path name</t>
  </si>
  <si>
    <t>pcgain</t>
  </si>
  <si>
    <t>refgain</t>
  </si>
  <si>
    <t>basegain</t>
  </si>
  <si>
    <t>xfer</t>
  </si>
  <si>
    <t>Photovoltage</t>
  </si>
  <si>
    <t>Reference Voltage</t>
  </si>
  <si>
    <t>Flag marking autoexit</t>
  </si>
  <si>
    <t>Data frequency in us</t>
  </si>
  <si>
    <t>Frequency of AD-conversions</t>
  </si>
  <si>
    <t>Timeout in ms</t>
  </si>
  <si>
    <t>Pulse length in us</t>
  </si>
  <si>
    <t>Trigger level in volts</t>
  </si>
  <si>
    <t>Number of points to transfer to Excel</t>
  </si>
  <si>
    <t>Dark voltage average value</t>
  </si>
  <si>
    <t>Transient</t>
  </si>
  <si>
    <t>Gain last used on channel 0</t>
  </si>
  <si>
    <t>Gain last used on channel 1</t>
  </si>
  <si>
    <t>Gain last used on channel 2</t>
  </si>
  <si>
    <t>Gain last used on channel 3</t>
  </si>
  <si>
    <t>Maximum value measured on channel 0</t>
  </si>
  <si>
    <t>Maximum value measured on channel 1</t>
  </si>
  <si>
    <t>Maximum value measured on channel 2</t>
  </si>
  <si>
    <t>Maximum value measured on channel 3</t>
  </si>
  <si>
    <t>Flag for refcell normalization</t>
  </si>
  <si>
    <t>Flag for photoconductance normalization</t>
  </si>
  <si>
    <t>Flag for dark voltage subtraction</t>
  </si>
  <si>
    <t>Time in s between flashes</t>
  </si>
  <si>
    <t>Gain used for baseline measurement on ch 1</t>
  </si>
  <si>
    <t>Time in us for measuring baseline mean</t>
  </si>
  <si>
    <t>Flag for automatic flash</t>
  </si>
  <si>
    <t>Gain used for thermocouple measurement on ch 0</t>
  </si>
  <si>
    <t>time between flashes</t>
  </si>
  <si>
    <t>Thickness</t>
  </si>
  <si>
    <t>Do autoscale gains</t>
  </si>
  <si>
    <t>Refcell constant</t>
  </si>
  <si>
    <t>Cal const A</t>
  </si>
  <si>
    <t>Cal const B</t>
  </si>
  <si>
    <t>Cal const C</t>
  </si>
  <si>
    <t>Area fraction</t>
  </si>
  <si>
    <t>Transmission fraction</t>
  </si>
  <si>
    <t>Light bias</t>
  </si>
  <si>
    <t>Wafer width</t>
  </si>
  <si>
    <t>MCD to evaluate tau</t>
  </si>
  <si>
    <t>Fit range</t>
  </si>
  <si>
    <t>Analysis type (0:QSS, 1:Trans, 2:Gen)</t>
  </si>
  <si>
    <t>Dopant type (0:p, 1:n)</t>
  </si>
  <si>
    <t>User-input resistivity</t>
  </si>
  <si>
    <t>High lifetime limit</t>
  </si>
  <si>
    <t>Use resistivity limits</t>
  </si>
  <si>
    <t>Low resistivity limit</t>
  </si>
  <si>
    <t>High resistivity limit</t>
  </si>
  <si>
    <t>Use trapping limits</t>
  </si>
  <si>
    <t>Low trapping limit</t>
  </si>
  <si>
    <t>High trapping limit</t>
  </si>
  <si>
    <t>Pass wafer on timeout</t>
  </si>
  <si>
    <t>TTL LOW width</t>
  </si>
  <si>
    <t>TTL HIGH width</t>
  </si>
  <si>
    <t>Use fixed density (0:yes, 1:no)</t>
  </si>
  <si>
    <t>Percent of max N</t>
  </si>
  <si>
    <t>[Communications]</t>
  </si>
  <si>
    <t>Use database</t>
  </si>
  <si>
    <t>Database location</t>
  </si>
  <si>
    <t>Semaphore location</t>
  </si>
  <si>
    <t>Autosave full data</t>
  </si>
  <si>
    <t>Autosave (full data) location</t>
  </si>
  <si>
    <t>Autosave stats</t>
  </si>
  <si>
    <t>Autosave (stats) location</t>
  </si>
  <si>
    <t>Autosave id (0:date, 1:lot)</t>
  </si>
  <si>
    <t>File suffix</t>
  </si>
  <si>
    <t>File suffix for lotIDs</t>
  </si>
  <si>
    <t>Current date string</t>
  </si>
  <si>
    <t>Current lot ID</t>
  </si>
  <si>
    <t>Current lot start index</t>
  </si>
  <si>
    <t>Current lot end index</t>
  </si>
  <si>
    <t>Current recipe name</t>
  </si>
  <si>
    <t>[Instrument constants]</t>
  </si>
  <si>
    <t>The row above (row 2) is copied to summary.xlsm when the user presses the "log data to summary" button.</t>
  </si>
  <si>
    <t xml:space="preserve"> false</t>
  </si>
  <si>
    <t>Auger_coef_used</t>
  </si>
  <si>
    <t>Use_linear_divisions</t>
  </si>
  <si>
    <t>Plot_type_left_graph</t>
  </si>
  <si>
    <t>Plot_type_right_graph</t>
  </si>
  <si>
    <t>Right_graph_x_min</t>
  </si>
  <si>
    <t>Right_graph_x_max</t>
  </si>
  <si>
    <t>Right_graph_left_y_min</t>
  </si>
  <si>
    <t>Right_graph_left_y_max</t>
  </si>
  <si>
    <t>Right_graph_right_y_min</t>
  </si>
  <si>
    <t>Right_graph_right_y_max</t>
  </si>
  <si>
    <t>Left_graph_x_min</t>
  </si>
  <si>
    <t>Left_graph_x_max</t>
  </si>
  <si>
    <t>Left_graph_left_y_min</t>
  </si>
  <si>
    <t>Left_graph_left_y_max</t>
  </si>
  <si>
    <t>Left_graph_right_y_min</t>
  </si>
  <si>
    <t>Left_graph_right_y_max</t>
  </si>
  <si>
    <t>Coupling_channel_0</t>
  </si>
  <si>
    <t>Coupling_channel_1</t>
  </si>
  <si>
    <t xml:space="preserve"> 1.0default</t>
  </si>
  <si>
    <t>Default_recipe_path</t>
  </si>
  <si>
    <t>Primary refcell constant</t>
  </si>
  <si>
    <t>Secondary refcell constant</t>
  </si>
  <si>
    <t>Analysis Mode</t>
  </si>
  <si>
    <t>Sample Parameters</t>
  </si>
  <si>
    <t>Wafer Thickness (cm)</t>
  </si>
  <si>
    <t>Wafer Lifetime Measurement Software</t>
  </si>
  <si>
    <t>Measurement Details</t>
  </si>
  <si>
    <t>Lifetime Data Acquisition and Analysis</t>
  </si>
  <si>
    <t>Resistivity (Ω-cm)</t>
  </si>
  <si>
    <t>Summary Log Settings</t>
  </si>
  <si>
    <t>Instrument Calibration</t>
  </si>
  <si>
    <t>Serial Number</t>
  </si>
  <si>
    <t>A</t>
  </si>
  <si>
    <t>B</t>
  </si>
  <si>
    <t>C</t>
  </si>
  <si>
    <t>Illuminated Area Fraction</t>
  </si>
  <si>
    <t>Auger Coefficient</t>
  </si>
  <si>
    <t>Bias Light (suns)</t>
  </si>
  <si>
    <t>When user clicks on Summary button, send the results to the following files</t>
  </si>
  <si>
    <t>Coupling Mode</t>
  </si>
  <si>
    <t>Dark Voltage</t>
  </si>
  <si>
    <t>Sheet rho Ohms/sq</t>
  </si>
  <si>
    <t>Apparent CD In Range</t>
  </si>
  <si>
    <t>Tau In Range</t>
  </si>
  <si>
    <t>1/Tau Fit Slope</t>
  </si>
  <si>
    <t>1/Tau Fit Intercept</t>
  </si>
  <si>
    <t>CD near bias point</t>
  </si>
  <si>
    <t>Apparent CD</t>
  </si>
  <si>
    <t>Tau (sec)</t>
  </si>
  <si>
    <t>Max Apparent CD</t>
  </si>
  <si>
    <t>Fit Range Min</t>
  </si>
  <si>
    <t>Fit Range Max</t>
  </si>
  <si>
    <t xml:space="preserve">Time of Max Apparent CD </t>
  </si>
  <si>
    <t>Min Apparent CD</t>
  </si>
  <si>
    <t xml:space="preserve">PC at Time of Max Apparent CD </t>
  </si>
  <si>
    <t>SpecMCD - Traps</t>
  </si>
  <si>
    <t>Implied Voc @ 1 sun</t>
  </si>
  <si>
    <t>Text Labels</t>
  </si>
  <si>
    <t>Spec MCD</t>
  </si>
  <si>
    <t>µs</t>
  </si>
  <si>
    <t>Acceptance Parameters</t>
  </si>
  <si>
    <t>Enable Pass/Fail Message</t>
  </si>
  <si>
    <t>Minimum Lifetime (us)</t>
  </si>
  <si>
    <t>Maximum Lifetime (us)</t>
  </si>
  <si>
    <t>Pass or Fail</t>
  </si>
  <si>
    <t>Thickness (cm)</t>
  </si>
  <si>
    <t>Autosave Settings</t>
  </si>
  <si>
    <t>Air Voltage</t>
  </si>
  <si>
    <t>Baseline Air Voltage Measurements</t>
  </si>
  <si>
    <t>Gain Setting</t>
  </si>
  <si>
    <t>Voltage Range (V)</t>
  </si>
  <si>
    <t>Measurement Date</t>
  </si>
  <si>
    <t>Measurement Time</t>
  </si>
  <si>
    <t>Specified MCD</t>
  </si>
  <si>
    <t>Light Bias (Suns)</t>
  </si>
  <si>
    <t>Lifetime at Spec. MCD</t>
  </si>
  <si>
    <t>Calibration A</t>
  </si>
  <si>
    <t>Calibration B</t>
  </si>
  <si>
    <t>Calibration C</t>
  </si>
  <si>
    <t>Ref Cell Cal Const</t>
  </si>
  <si>
    <t>OptConst</t>
  </si>
  <si>
    <t>SpecMCD</t>
  </si>
  <si>
    <t>BiasLight</t>
  </si>
  <si>
    <t>RefCellCal</t>
  </si>
  <si>
    <t>Acal</t>
  </si>
  <si>
    <t>Bcal</t>
  </si>
  <si>
    <t>Ccal</t>
  </si>
  <si>
    <t>InstrumentSN</t>
  </si>
  <si>
    <t>Instrument Serial Number</t>
  </si>
  <si>
    <t>Selection Options</t>
  </si>
  <si>
    <t>QSS</t>
  </si>
  <si>
    <t>p-type</t>
  </si>
  <si>
    <t>Parameter</t>
  </si>
  <si>
    <t>Value</t>
  </si>
  <si>
    <t>Flag String</t>
  </si>
  <si>
    <t>Air Voltage (ZeroCoil)</t>
  </si>
  <si>
    <t>Air Voltage Input Range (Volts +/-)</t>
  </si>
  <si>
    <t>Cal Command</t>
  </si>
  <si>
    <t>Measure Command</t>
  </si>
  <si>
    <t>Raw Data Graph Points</t>
  </si>
  <si>
    <t>PC Gain</t>
  </si>
  <si>
    <t>Ref Gain</t>
  </si>
  <si>
    <t>Upper Bound</t>
  </si>
  <si>
    <t>Lower Bound</t>
  </si>
  <si>
    <t>Zoom Indicators</t>
  </si>
  <si>
    <t>Max Voltage</t>
  </si>
  <si>
    <t>Lower Bound Percentage</t>
  </si>
  <si>
    <t>num flashes for averaging</t>
  </si>
  <si>
    <t>Number of Flashes to average (initial value)</t>
  </si>
  <si>
    <t>Averaging Settings</t>
  </si>
  <si>
    <t>Baseline Voltage Range</t>
  </si>
  <si>
    <t>automatically Log results to specified summary files after each measurement</t>
  </si>
  <si>
    <t>Sample Time</t>
  </si>
  <si>
    <t>Automatically Rescale Graphs after each measurement</t>
  </si>
  <si>
    <t>Rescale Setting</t>
  </si>
  <si>
    <t>Show Taking Data Window Setting</t>
  </si>
  <si>
    <t>Show the Taking Data window during measurement</t>
  </si>
  <si>
    <t># of taus beyond 150mV</t>
  </si>
  <si>
    <t>Index_of_flashmode</t>
  </si>
  <si>
    <t>Signal Clipped (Zoom Out)</t>
  </si>
  <si>
    <t>Signal Low (Zoom In)</t>
  </si>
  <si>
    <t>Error Messages</t>
  </si>
  <si>
    <t>Sat. Ref Cell</t>
  </si>
  <si>
    <t>MCD out of Range</t>
  </si>
  <si>
    <t>Light Bias out of Range</t>
  </si>
  <si>
    <t xml:space="preserve"> </t>
  </si>
  <si>
    <t>Pulse Length</t>
  </si>
  <si>
    <t>Time Scale Flags</t>
  </si>
  <si>
    <t>Sample Type</t>
  </si>
  <si>
    <t>Fit Intercept (µs)</t>
  </si>
  <si>
    <t>Automatically save file after each measurement</t>
  </si>
  <si>
    <t>Data Acquisition Time Scale Settings</t>
  </si>
  <si>
    <t>Date and Time of Last "Zero Instrument"</t>
  </si>
  <si>
    <t>1 sun Implied Voc (V)</t>
  </si>
  <si>
    <t>MCD at 0.6V Ref Cell</t>
  </si>
  <si>
    <t>MCD for Ref Cell&gt;0.6V</t>
  </si>
  <si>
    <t>Max Valid MCD</t>
  </si>
  <si>
    <t>Air Voltage Stdev</t>
  </si>
  <si>
    <t>1 Sun Implied Voc</t>
  </si>
  <si>
    <t>1SunImpVoc</t>
  </si>
  <si>
    <t>Offset = Air-C</t>
  </si>
  <si>
    <t>Instument Type</t>
  </si>
  <si>
    <t>Time (s)</t>
  </si>
  <si>
    <t>Time in s</t>
  </si>
  <si>
    <t>Implied Suns</t>
  </si>
  <si>
    <t>Implied Voc</t>
  </si>
  <si>
    <t>1/Tau (auger corrected) Fit Slope</t>
  </si>
  <si>
    <t>1/Tau (auger corrected) Fit Intercept</t>
  </si>
  <si>
    <t>1/Tau in Range</t>
  </si>
  <si>
    <t>C:\SintonInstruments\LifetimeSummaryData\summary.xlsm</t>
  </si>
  <si>
    <t>C:\SintonInstruments\LifetimeSummaryData\summary.txt</t>
  </si>
  <si>
    <t>C:\SintonInstruments\LifetimeSummaryData\summary.accdb</t>
  </si>
  <si>
    <t>C:\lifetime\lifetime.exe /subbase=2 /basetime_us=20000</t>
  </si>
  <si>
    <t>Generalized (1/64)</t>
  </si>
  <si>
    <t>Generalized (1/1)</t>
  </si>
  <si>
    <t>Auger Model</t>
  </si>
  <si>
    <t>Sinton</t>
  </si>
  <si>
    <t>Richter</t>
  </si>
  <si>
    <t>ON</t>
  </si>
  <si>
    <t>OFF</t>
  </si>
  <si>
    <t>Analysis Parameters\Settings</t>
  </si>
  <si>
    <t>1/Tau Fit (auger corrected)</t>
  </si>
  <si>
    <t>ni</t>
  </si>
  <si>
    <t>PC/Ref</t>
  </si>
  <si>
    <t xml:space="preserve">Delay between flashes Transient/Generalized (1/64) (sec) </t>
  </si>
  <si>
    <t xml:space="preserve">Delay between flashes QSS/Generalized (1/1) (sec) </t>
  </si>
  <si>
    <t>1/Tau Corrected</t>
  </si>
  <si>
    <t>1/Tau corrected in Range</t>
  </si>
  <si>
    <t>1/Tau corrected</t>
  </si>
  <si>
    <t>Tau @ specMCD (s)</t>
  </si>
  <si>
    <t>Resistivity Ohm-cm</t>
  </si>
  <si>
    <t>Temp</t>
  </si>
  <si>
    <t>Undoped ohm/sq</t>
  </si>
  <si>
    <t>Undoped Cond</t>
  </si>
  <si>
    <t>Polynomial Fit</t>
  </si>
  <si>
    <t>Mobility</t>
  </si>
  <si>
    <t>Temp Command</t>
  </si>
  <si>
    <t>C:\lifetime\lifetime.exe /temponly=true /switchedTCgain=2</t>
  </si>
  <si>
    <t>Corrected ShtRho</t>
  </si>
  <si>
    <t>Corrected Res</t>
  </si>
  <si>
    <t>Temperature</t>
  </si>
  <si>
    <t>Tau (corrected) @ specMCD (µs)</t>
  </si>
  <si>
    <t>Tau (corrected) @ specMCD (s)</t>
  </si>
  <si>
    <t>1/Tau (corrected) @ specMCD</t>
  </si>
  <si>
    <t>Mobility Model</t>
  </si>
  <si>
    <t>Dannhauser/ Krausse</t>
  </si>
  <si>
    <t>Dorkel/ Leturcq</t>
  </si>
  <si>
    <t>Temperature Scan Parameters</t>
  </si>
  <si>
    <t>Low Temp (⁰C)</t>
  </si>
  <si>
    <t>High Temp (⁰C)</t>
  </si>
  <si>
    <t>Step Size (⁰C)</t>
  </si>
  <si>
    <t>Tolerance (⁰C)</t>
  </si>
  <si>
    <t xml:space="preserve">Temp (C) </t>
  </si>
  <si>
    <t>Corrected Ohms/sq</t>
  </si>
  <si>
    <t>Corrected Ohm-cm</t>
  </si>
  <si>
    <t>CorrOhmSq</t>
  </si>
  <si>
    <t>CorrOhmcm</t>
  </si>
  <si>
    <t>Transient/Generalized (1/64) Mode Total Acquisition Time (µs)</t>
  </si>
  <si>
    <t xml:space="preserve">Transient/Generalized (1/64) Mode # of Taus Beyond 150mV </t>
  </si>
  <si>
    <t>ni2/tau</t>
  </si>
  <si>
    <t>Number of Flashes to average during temperature scan</t>
  </si>
  <si>
    <t>Cutoff</t>
  </si>
  <si>
    <t>4.6.0TS</t>
  </si>
  <si>
    <t>© Sinton Instruments 2014</t>
  </si>
  <si>
    <r>
      <t>Specified MCD (cm</t>
    </r>
    <r>
      <rPr>
        <b/>
        <vertAlign val="superscript"/>
        <sz val="12"/>
        <rFont val="Calibri"/>
        <family val="2"/>
        <scheme val="minor"/>
      </rPr>
      <t>-3</t>
    </r>
    <r>
      <rPr>
        <b/>
        <sz val="12"/>
        <rFont val="Calibri"/>
        <family val="2"/>
        <scheme val="minor"/>
      </rPr>
      <t>)</t>
    </r>
  </si>
  <si>
    <r>
      <t>Corected Sheet Resistance (</t>
    </r>
    <r>
      <rPr>
        <sz val="10"/>
        <rFont val="Calibri"/>
        <family val="2"/>
        <scheme val="minor"/>
      </rPr>
      <t>Ω</t>
    </r>
    <r>
      <rPr>
        <b/>
        <sz val="10"/>
        <rFont val="Calibri"/>
        <family val="2"/>
        <scheme val="minor"/>
      </rPr>
      <t>/sq)</t>
    </r>
  </si>
  <si>
    <r>
      <t>Corrected Resistivity (</t>
    </r>
    <r>
      <rPr>
        <sz val="12"/>
        <rFont val="Calibri"/>
        <family val="2"/>
        <scheme val="minor"/>
      </rPr>
      <t>Ω</t>
    </r>
    <r>
      <rPr>
        <b/>
        <sz val="12"/>
        <rFont val="Calibri"/>
        <family val="2"/>
        <scheme val="minor"/>
      </rPr>
      <t>-cm)</t>
    </r>
  </si>
  <si>
    <r>
      <t>J0 (A/cm</t>
    </r>
    <r>
      <rPr>
        <b/>
        <vertAlign val="superscript"/>
        <sz val="12"/>
        <rFont val="Calibri"/>
        <family val="2"/>
        <scheme val="minor"/>
      </rPr>
      <t>2</t>
    </r>
    <r>
      <rPr>
        <b/>
        <sz val="12"/>
        <rFont val="Calibri"/>
        <family val="2"/>
        <scheme val="minor"/>
      </rPr>
      <t>)</t>
    </r>
  </si>
  <si>
    <r>
      <t>Min MCD (cm</t>
    </r>
    <r>
      <rPr>
        <b/>
        <vertAlign val="superscript"/>
        <sz val="12"/>
        <rFont val="Calibri"/>
        <family val="2"/>
        <scheme val="minor"/>
      </rPr>
      <t>-3</t>
    </r>
    <r>
      <rPr>
        <b/>
        <sz val="12"/>
        <rFont val="Calibri"/>
        <family val="2"/>
        <scheme val="minor"/>
      </rPr>
      <t>)</t>
    </r>
  </si>
  <si>
    <r>
      <t>Max MCD (cm</t>
    </r>
    <r>
      <rPr>
        <b/>
        <vertAlign val="superscript"/>
        <sz val="12"/>
        <rFont val="Calibri"/>
        <family val="2"/>
        <scheme val="minor"/>
      </rPr>
      <t>-3</t>
    </r>
    <r>
      <rPr>
        <b/>
        <sz val="12"/>
        <rFont val="Calibri"/>
        <family val="2"/>
        <scheme val="minor"/>
      </rPr>
      <t>)</t>
    </r>
  </si>
  <si>
    <r>
      <t>Bias point CD (cm</t>
    </r>
    <r>
      <rPr>
        <b/>
        <vertAlign val="superscript"/>
        <sz val="12"/>
        <rFont val="Calibri"/>
        <family val="2"/>
        <scheme val="minor"/>
      </rPr>
      <t>-3</t>
    </r>
    <r>
      <rPr>
        <b/>
        <sz val="12"/>
        <rFont val="Calibri"/>
        <family val="2"/>
        <scheme val="minor"/>
      </rPr>
      <t>)</t>
    </r>
  </si>
  <si>
    <r>
      <t>Trap Density (cm</t>
    </r>
    <r>
      <rPr>
        <b/>
        <vertAlign val="superscript"/>
        <sz val="12"/>
        <rFont val="Calibri"/>
        <family val="2"/>
        <scheme val="minor"/>
      </rPr>
      <t>-3</t>
    </r>
    <r>
      <rPr>
        <b/>
        <sz val="12"/>
        <rFont val="Calibri"/>
        <family val="2"/>
        <scheme val="minor"/>
      </rPr>
      <t>)</t>
    </r>
  </si>
  <si>
    <r>
      <t>Doping
 (cm</t>
    </r>
    <r>
      <rPr>
        <b/>
        <vertAlign val="superscript"/>
        <sz val="12"/>
        <rFont val="Calibri"/>
        <family val="2"/>
        <scheme val="minor"/>
      </rPr>
      <t>-3</t>
    </r>
    <r>
      <rPr>
        <b/>
        <sz val="12"/>
        <rFont val="Calibri"/>
        <family val="2"/>
        <scheme val="minor"/>
      </rPr>
      <t>)</t>
    </r>
  </si>
  <si>
    <r>
      <t>Temp (</t>
    </r>
    <r>
      <rPr>
        <b/>
        <vertAlign val="superscript"/>
        <sz val="12"/>
        <rFont val="Calibri"/>
        <family val="2"/>
        <scheme val="minor"/>
      </rPr>
      <t>o</t>
    </r>
    <r>
      <rPr>
        <b/>
        <sz val="12"/>
        <rFont val="Calibri"/>
        <family val="2"/>
        <scheme val="minor"/>
      </rPr>
      <t xml:space="preserve">C) </t>
    </r>
  </si>
  <si>
    <t>QSS/Generalized (1/1) Mode Acquisition Time (µs)</t>
  </si>
  <si>
    <r>
      <t>Wafer Doping (cm</t>
    </r>
    <r>
      <rPr>
        <b/>
        <vertAlign val="superscript"/>
        <sz val="8"/>
        <rFont val="Calibri"/>
        <family val="2"/>
        <scheme val="minor"/>
      </rPr>
      <t>-3</t>
    </r>
    <r>
      <rPr>
        <b/>
        <sz val="8"/>
        <rFont val="Calibri"/>
        <family val="2"/>
        <scheme val="minor"/>
      </rPr>
      <t>)</t>
    </r>
  </si>
  <si>
    <r>
      <t>cm</t>
    </r>
    <r>
      <rPr>
        <vertAlign val="superscript"/>
        <sz val="10"/>
        <rFont val="Calibri"/>
        <family val="2"/>
        <scheme val="minor"/>
      </rPr>
      <t>-3</t>
    </r>
  </si>
  <si>
    <t>Tau @ specMCD (μs)</t>
  </si>
  <si>
    <r>
      <t>Tau fit (µs) (intercept @ -N</t>
    </r>
    <r>
      <rPr>
        <b/>
        <vertAlign val="subscript"/>
        <sz val="10"/>
        <rFont val="Calibri"/>
        <family val="2"/>
        <scheme val="minor"/>
      </rPr>
      <t>A</t>
    </r>
    <r>
      <rPr>
        <b/>
        <sz val="10"/>
        <rFont val="Calibri"/>
        <family val="2"/>
        <scheme val="minor"/>
      </rPr>
      <t>)</t>
    </r>
  </si>
  <si>
    <r>
      <t>ni</t>
    </r>
    <r>
      <rPr>
        <b/>
        <vertAlign val="superscript"/>
        <sz val="10"/>
        <rFont val="Calibri"/>
        <family val="2"/>
        <scheme val="minor"/>
      </rPr>
      <t>2</t>
    </r>
    <r>
      <rPr>
        <b/>
        <sz val="10"/>
        <rFont val="Calibri"/>
        <family val="2"/>
        <scheme val="minor"/>
      </rPr>
      <t>/tau fit slope</t>
    </r>
  </si>
  <si>
    <t>WCT-120TS</t>
  </si>
  <si>
    <t>14-127030</t>
  </si>
  <si>
    <t>Ntautrap</t>
  </si>
  <si>
    <t>Trapping voltage at Ntautrap</t>
  </si>
  <si>
    <t>Logged</t>
  </si>
  <si>
    <t>Sample_QSS_50</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</si>
</sst>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00"/>
    <numFmt numFmtId="165" formatCode="0.0000"/>
    <numFmt numFmtId="166" formatCode="0.0"/>
    <numFmt numFmtId="167" formatCode="0.0E+00"/>
    <numFmt numFmtId="168" formatCode="0.000"/>
    <numFmt numFmtId="169" formatCode="dd\-mmm\-yy"/>
    <numFmt numFmtId="170" formatCode="[$-F400]h:mm:ss\ AM/PM"/>
    <numFmt numFmtId="171" formatCode="0.000E+00"/>
  </numFmts>
  <fonts count="38" x14ac:knownFonts="1">
    <font>
      <sz val="10"/>
      <name val="Arial"/>
      <family val="2"/>
    </font>
    <font>
      <sz val="10"/>
      <name val="Arial"/>
      <family val="2"/>
    </font>
    <font>
      <b/>
      <sz val="10"/>
      <name val="Arial"/>
      <family val="2"/>
    </font>
    <font>
      <sz val="8"/>
      <name val="Arial"/>
      <family val="2"/>
    </font>
    <font>
      <b/>
      <sz val="8"/>
      <color indexed="81"/>
      <name val="Tahoma"/>
      <family val="2"/>
    </font>
    <font>
      <sz val="8"/>
      <color indexed="81"/>
      <name val="Tahoma"/>
      <family val="2"/>
    </font>
    <font>
      <b/>
      <sz val="10"/>
      <color indexed="10"/>
      <name val="Arial"/>
      <family val="2"/>
    </font>
    <font>
      <b/>
      <sz val="10"/>
      <color rgb="FFFF0000"/>
      <name val="Arial"/>
      <family val="2"/>
    </font>
    <font>
      <b/>
      <sz val="10"/>
      <color indexed="81"/>
      <name val="Tahoma"/>
      <family val="2"/>
    </font>
    <font>
      <b/>
      <sz val="10"/>
      <color indexed="10"/>
      <name val="Tahoma"/>
      <family val="2"/>
    </font>
    <font>
      <b/>
      <sz val="11"/>
      <color indexed="81"/>
      <name val="Tahoma"/>
      <family val="2"/>
    </font>
    <font>
      <b/>
      <sz val="10"/>
      <color rgb="FF000000"/>
      <name val="Arial"/>
      <family val="2"/>
    </font>
    <font>
      <sz val="10"/>
      <color indexed="81"/>
      <name val="Tahoma"/>
      <family val="2"/>
    </font>
    <font>
      <b/>
      <sz val="9"/>
      <color indexed="81"/>
      <name val="Tahoma"/>
      <family val="2"/>
    </font>
    <font>
      <b/>
      <sz val="10"/>
      <name val="Calibri"/>
      <family val="2"/>
      <scheme val="minor"/>
    </font>
    <font>
      <b/>
      <sz val="12"/>
      <name val="Calibri"/>
      <family val="2"/>
      <scheme val="minor"/>
    </font>
    <font>
      <b/>
      <vertAlign val="superscript"/>
      <sz val="12"/>
      <name val="Calibri"/>
      <family val="2"/>
      <scheme val="minor"/>
    </font>
    <font>
      <b/>
      <sz val="9"/>
      <name val="Calibri"/>
      <family val="2"/>
      <scheme val="minor"/>
    </font>
    <font>
      <b/>
      <sz val="12"/>
      <color rgb="FF2004EC"/>
      <name val="Calibri"/>
      <family val="2"/>
      <scheme val="minor"/>
    </font>
    <font>
      <b/>
      <sz val="11"/>
      <color rgb="FF2004EC"/>
      <name val="Calibri"/>
      <family val="2"/>
      <scheme val="minor"/>
    </font>
    <font>
      <sz val="10"/>
      <name val="Calibri"/>
      <family val="2"/>
      <scheme val="minor"/>
    </font>
    <font>
      <b/>
      <sz val="12"/>
      <color rgb="FFFF0000"/>
      <name val="Calibri"/>
      <family val="2"/>
      <scheme val="minor"/>
    </font>
    <font>
      <sz val="12"/>
      <name val="Calibri"/>
      <family val="2"/>
      <scheme val="minor"/>
    </font>
    <font>
      <b/>
      <sz val="11"/>
      <color rgb="FFFF0000"/>
      <name val="Calibri"/>
      <family val="2"/>
      <scheme val="minor"/>
    </font>
    <font>
      <b/>
      <sz val="20"/>
      <name val="Calibri"/>
      <family val="2"/>
      <scheme val="minor"/>
    </font>
    <font>
      <sz val="20"/>
      <color rgb="FF00B050"/>
      <name val="Calibri"/>
      <family val="2"/>
      <scheme val="minor"/>
    </font>
    <font>
      <b/>
      <sz val="11"/>
      <name val="Calibri"/>
      <family val="2"/>
      <scheme val="minor"/>
    </font>
    <font>
      <b/>
      <sz val="10"/>
      <color rgb="FF2004EC"/>
      <name val="Calibri"/>
      <family val="2"/>
      <scheme val="minor"/>
    </font>
    <font>
      <b/>
      <sz val="10"/>
      <color indexed="10"/>
      <name val="Calibri"/>
      <family val="2"/>
      <scheme val="minor"/>
    </font>
    <font>
      <b/>
      <sz val="10"/>
      <color indexed="8"/>
      <name val="Calibri"/>
      <family val="2"/>
      <scheme val="minor"/>
    </font>
    <font>
      <b/>
      <sz val="8"/>
      <name val="Calibri"/>
      <family val="2"/>
      <scheme val="minor"/>
    </font>
    <font>
      <b/>
      <vertAlign val="superscript"/>
      <sz val="8"/>
      <name val="Calibri"/>
      <family val="2"/>
      <scheme val="minor"/>
    </font>
    <font>
      <b/>
      <sz val="10"/>
      <color indexed="12"/>
      <name val="Calibri"/>
      <family val="2"/>
      <scheme val="minor"/>
    </font>
    <font>
      <sz val="10"/>
      <color rgb="FFC00000"/>
      <name val="Calibri"/>
      <family val="2"/>
      <scheme val="minor"/>
    </font>
    <font>
      <vertAlign val="superscript"/>
      <sz val="10"/>
      <name val="Calibri"/>
      <family val="2"/>
      <scheme val="minor"/>
    </font>
    <font>
      <b/>
      <vertAlign val="subscript"/>
      <sz val="10"/>
      <name val="Calibri"/>
      <family val="2"/>
      <scheme val="minor"/>
    </font>
    <font>
      <b/>
      <vertAlign val="superscript"/>
      <sz val="10"/>
      <name val="Calibri"/>
      <family val="2"/>
      <scheme val="minor"/>
    </font>
    <font>
      <sz val="10"/>
      <color theme="3" tint="0.39997558519241921"/>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C00000"/>
        <bgColor indexed="64"/>
      </patternFill>
    </fill>
    <fill>
      <patternFill patternType="solid">
        <fgColor theme="5" tint="-0.499984740745262"/>
        <bgColor indexed="64"/>
      </patternFill>
    </fill>
    <fill>
      <patternFill patternType="solid">
        <fgColor rgb="FFFF0000"/>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9"/>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7030A0"/>
        <bgColor indexed="64"/>
      </patternFill>
    </fill>
    <fill>
      <patternFill patternType="solid">
        <fgColor theme="7" tint="-0.499984740745262"/>
        <bgColor indexed="64"/>
      </patternFill>
    </fill>
  </fills>
  <borders count="16">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2">
    <xf numFmtId="0" fontId="0" fillId="0" borderId="0"/>
    <xf numFmtId="0" fontId="1" fillId="0" borderId="0"/>
  </cellStyleXfs>
  <cellXfs count="304">
    <xf numFmtId="0" fontId="0" fillId="0" borderId="0" xfId="0"/>
    <xf numFmtId="0" fontId="2" fillId="3" borderId="0" xfId="0" applyFont="1" applyFill="1" applyBorder="1"/>
    <xf numFmtId="0" fontId="2" fillId="3" borderId="7" xfId="0" applyFont="1" applyFill="1" applyBorder="1" applyAlignment="1">
      <alignment horizontal="center"/>
    </xf>
    <xf numFmtId="0" fontId="2" fillId="3" borderId="7" xfId="0" applyFont="1" applyFill="1" applyBorder="1"/>
    <xf numFmtId="0" fontId="1" fillId="3" borderId="0" xfId="1" applyFill="1"/>
    <xf numFmtId="0" fontId="1" fillId="3" borderId="0" xfId="1" applyFont="1" applyFill="1"/>
    <xf numFmtId="0" fontId="1" fillId="3" borderId="0" xfId="1" applyFont="1" applyFill="1" applyAlignment="1">
      <alignment wrapText="1"/>
    </xf>
    <xf numFmtId="0" fontId="1" fillId="3" borderId="0" xfId="1" applyFill="1" applyAlignment="1">
      <alignment horizontal="center"/>
    </xf>
    <xf numFmtId="0" fontId="0" fillId="3" borderId="0" xfId="1" applyFont="1" applyFill="1"/>
    <xf numFmtId="0" fontId="6" fillId="3" borderId="0" xfId="1" applyFont="1" applyFill="1"/>
    <xf numFmtId="0" fontId="1" fillId="3" borderId="7" xfId="1" applyFill="1" applyBorder="1" applyAlignment="1">
      <alignment horizontal="center"/>
    </xf>
    <xf numFmtId="0" fontId="2" fillId="3" borderId="7" xfId="1" applyFont="1" applyFill="1" applyBorder="1" applyAlignment="1">
      <alignment horizontal="center"/>
    </xf>
    <xf numFmtId="0" fontId="2" fillId="3" borderId="1" xfId="1" applyFont="1" applyFill="1" applyBorder="1"/>
    <xf numFmtId="0" fontId="2" fillId="3" borderId="1" xfId="1" applyFont="1" applyFill="1" applyBorder="1" applyAlignment="1">
      <alignment horizontal="center"/>
    </xf>
    <xf numFmtId="0" fontId="1" fillId="3" borderId="0" xfId="1" applyFont="1" applyFill="1" applyAlignment="1">
      <alignment horizontal="center"/>
    </xf>
    <xf numFmtId="0" fontId="7" fillId="3" borderId="0" xfId="1" applyFont="1" applyFill="1" applyAlignment="1">
      <alignment horizontal="center"/>
    </xf>
    <xf numFmtId="0" fontId="2" fillId="3" borderId="0" xfId="1" applyFont="1" applyFill="1" applyAlignment="1">
      <alignment horizontal="center"/>
    </xf>
    <xf numFmtId="0" fontId="2" fillId="3" borderId="0" xfId="1" applyFont="1" applyFill="1"/>
    <xf numFmtId="0" fontId="7" fillId="3" borderId="0" xfId="1" applyFont="1" applyFill="1"/>
    <xf numFmtId="11" fontId="1" fillId="3" borderId="0" xfId="1" applyNumberFormat="1" applyFill="1" applyAlignment="1">
      <alignment horizontal="center"/>
    </xf>
    <xf numFmtId="0" fontId="1" fillId="3" borderId="6" xfId="1" applyFill="1" applyBorder="1"/>
    <xf numFmtId="0" fontId="1" fillId="3" borderId="13" xfId="1" applyFill="1" applyBorder="1" applyAlignment="1">
      <alignment horizontal="center"/>
    </xf>
    <xf numFmtId="0" fontId="1" fillId="3" borderId="14" xfId="1" applyFill="1" applyBorder="1" applyAlignment="1">
      <alignment horizontal="center"/>
    </xf>
    <xf numFmtId="0" fontId="1" fillId="3" borderId="13" xfId="1" applyFill="1" applyBorder="1"/>
    <xf numFmtId="0" fontId="1" fillId="3" borderId="14" xfId="1" applyFill="1" applyBorder="1"/>
    <xf numFmtId="2" fontId="1" fillId="3" borderId="13" xfId="1" applyNumberFormat="1" applyFill="1" applyBorder="1" applyAlignment="1">
      <alignment horizontal="center"/>
    </xf>
    <xf numFmtId="0" fontId="1" fillId="3" borderId="2" xfId="1" applyFill="1" applyBorder="1"/>
    <xf numFmtId="0" fontId="1" fillId="3" borderId="3" xfId="1" applyFill="1" applyBorder="1"/>
    <xf numFmtId="168" fontId="1" fillId="3" borderId="13" xfId="1" applyNumberFormat="1" applyFill="1" applyBorder="1" applyAlignment="1">
      <alignment horizontal="center"/>
    </xf>
    <xf numFmtId="9" fontId="1" fillId="3" borderId="0" xfId="1" applyNumberFormat="1" applyFill="1" applyAlignment="1">
      <alignment horizontal="center"/>
    </xf>
    <xf numFmtId="0" fontId="0" fillId="3" borderId="0" xfId="1" applyFont="1" applyFill="1" applyAlignment="1">
      <alignment horizontal="left"/>
    </xf>
    <xf numFmtId="0" fontId="2" fillId="3" borderId="4" xfId="1" applyFont="1" applyFill="1" applyBorder="1" applyAlignment="1">
      <alignment horizontal="center"/>
    </xf>
    <xf numFmtId="0" fontId="2" fillId="3" borderId="6" xfId="1" applyFont="1" applyFill="1" applyBorder="1"/>
    <xf numFmtId="0" fontId="2" fillId="3" borderId="4" xfId="1" applyFont="1" applyFill="1" applyBorder="1"/>
    <xf numFmtId="0" fontId="2" fillId="3" borderId="13" xfId="1" applyFont="1" applyFill="1" applyBorder="1" applyAlignment="1">
      <alignment horizontal="center"/>
    </xf>
    <xf numFmtId="0" fontId="2" fillId="3" borderId="14" xfId="1" applyFont="1" applyFill="1" applyBorder="1" applyAlignment="1">
      <alignment horizontal="center"/>
    </xf>
    <xf numFmtId="0" fontId="0" fillId="3" borderId="0" xfId="1" applyFont="1" applyFill="1" applyAlignment="1">
      <alignment wrapText="1"/>
    </xf>
    <xf numFmtId="0" fontId="7" fillId="3" borderId="0" xfId="0" applyFont="1" applyFill="1"/>
    <xf numFmtId="0" fontId="7" fillId="3" borderId="0" xfId="0" applyFont="1" applyFill="1" applyAlignment="1"/>
    <xf numFmtId="0" fontId="14" fillId="0" borderId="0" xfId="0" applyFont="1"/>
    <xf numFmtId="0" fontId="14" fillId="0" borderId="0" xfId="0" applyFont="1" applyFill="1" applyBorder="1" applyAlignment="1" applyProtection="1">
      <alignment horizontal="center" wrapText="1"/>
    </xf>
    <xf numFmtId="0" fontId="14" fillId="0" borderId="0" xfId="0" applyFont="1" applyProtection="1"/>
    <xf numFmtId="0" fontId="15" fillId="0" borderId="0" xfId="0" applyFont="1"/>
    <xf numFmtId="0" fontId="14" fillId="0" borderId="0" xfId="0" applyFont="1" applyBorder="1" applyProtection="1"/>
    <xf numFmtId="0" fontId="14" fillId="0" borderId="0" xfId="0" applyFont="1" applyFill="1" applyBorder="1" applyAlignment="1" applyProtection="1">
      <alignment horizontal="center" vertical="top" wrapText="1"/>
    </xf>
    <xf numFmtId="0" fontId="15" fillId="0" borderId="0" xfId="0" applyFont="1" applyBorder="1" applyProtection="1">
      <protection locked="0"/>
    </xf>
    <xf numFmtId="0" fontId="14" fillId="0" borderId="0" xfId="0" applyFont="1" applyBorder="1"/>
    <xf numFmtId="0" fontId="14" fillId="0" borderId="0" xfId="0" applyFont="1" applyBorder="1" applyAlignment="1">
      <alignment horizontal="center"/>
    </xf>
    <xf numFmtId="49" fontId="14" fillId="0" borderId="0" xfId="0" applyNumberFormat="1" applyFont="1" applyBorder="1" applyAlignment="1" applyProtection="1">
      <alignment horizontal="left"/>
    </xf>
    <xf numFmtId="0" fontId="14" fillId="2" borderId="0" xfId="0" applyFont="1" applyFill="1" applyBorder="1" applyAlignment="1" applyProtection="1">
      <alignment horizontal="left"/>
    </xf>
    <xf numFmtId="0" fontId="14" fillId="2" borderId="0" xfId="0" applyFont="1" applyFill="1" applyBorder="1" applyProtection="1"/>
    <xf numFmtId="0" fontId="14" fillId="0" borderId="0" xfId="0" applyFont="1" applyBorder="1" applyAlignment="1" applyProtection="1">
      <alignment horizontal="left"/>
    </xf>
    <xf numFmtId="14" fontId="14" fillId="0" borderId="0" xfId="0" applyNumberFormat="1" applyFont="1" applyBorder="1" applyAlignment="1" applyProtection="1">
      <alignment horizontal="centerContinuous"/>
    </xf>
    <xf numFmtId="0" fontId="14" fillId="0" borderId="0" xfId="0" applyFont="1" applyBorder="1" applyAlignment="1" applyProtection="1">
      <alignment horizontal="center"/>
    </xf>
    <xf numFmtId="0" fontId="14" fillId="0" borderId="0" xfId="0" applyFont="1" applyBorder="1" applyAlignment="1" applyProtection="1">
      <alignment horizontal="centerContinuous"/>
    </xf>
    <xf numFmtId="16" fontId="14" fillId="0" borderId="0" xfId="0" applyNumberFormat="1" applyFont="1" applyBorder="1" applyProtection="1"/>
    <xf numFmtId="0" fontId="15" fillId="2" borderId="0" xfId="0" applyFont="1" applyFill="1" applyBorder="1" applyProtection="1"/>
    <xf numFmtId="0" fontId="15" fillId="2" borderId="0" xfId="0" applyFont="1" applyFill="1" applyBorder="1" applyAlignment="1" applyProtection="1">
      <alignment horizontal="left"/>
    </xf>
    <xf numFmtId="0" fontId="15" fillId="0" borderId="0" xfId="0" applyFont="1" applyBorder="1"/>
    <xf numFmtId="0" fontId="14" fillId="0" borderId="0" xfId="0" applyFont="1" applyFill="1" applyBorder="1" applyProtection="1"/>
    <xf numFmtId="0" fontId="15" fillId="3" borderId="4" xfId="0" applyFont="1" applyFill="1" applyBorder="1" applyAlignment="1" applyProtection="1">
      <alignment horizontal="center" wrapText="1"/>
    </xf>
    <xf numFmtId="0" fontId="15" fillId="3" borderId="5" xfId="0" applyFont="1" applyFill="1" applyBorder="1" applyAlignment="1" applyProtection="1">
      <alignment horizontal="center" wrapText="1"/>
    </xf>
    <xf numFmtId="0" fontId="15" fillId="3" borderId="6" xfId="0" applyFont="1" applyFill="1" applyBorder="1" applyAlignment="1" applyProtection="1">
      <alignment horizontal="center" wrapText="1"/>
    </xf>
    <xf numFmtId="16" fontId="15" fillId="3" borderId="5" xfId="0" applyNumberFormat="1" applyFont="1" applyFill="1" applyBorder="1" applyAlignment="1" applyProtection="1">
      <alignment horizontal="center" wrapText="1"/>
    </xf>
    <xf numFmtId="16" fontId="15" fillId="3" borderId="10" xfId="0" applyNumberFormat="1" applyFont="1" applyFill="1" applyBorder="1" applyAlignment="1" applyProtection="1">
      <alignment horizontal="center" wrapText="1"/>
    </xf>
    <xf numFmtId="0" fontId="17" fillId="3" borderId="9" xfId="0" applyFont="1" applyFill="1" applyBorder="1" applyAlignment="1" applyProtection="1">
      <alignment horizontal="center" wrapText="1"/>
    </xf>
    <xf numFmtId="0" fontId="17" fillId="3" borderId="8" xfId="0" applyFont="1" applyFill="1" applyBorder="1" applyAlignment="1" applyProtection="1">
      <alignment horizontal="center" wrapText="1"/>
    </xf>
    <xf numFmtId="0" fontId="17" fillId="3" borderId="10" xfId="0" applyFont="1" applyFill="1" applyBorder="1" applyAlignment="1" applyProtection="1">
      <alignment horizontal="center" wrapText="1"/>
    </xf>
    <xf numFmtId="16" fontId="18" fillId="0" borderId="2" xfId="0" applyNumberFormat="1" applyFont="1" applyBorder="1" applyAlignment="1" applyProtection="1">
      <alignment horizontal="center"/>
      <protection locked="0"/>
    </xf>
    <xf numFmtId="0" fontId="18" fillId="0" borderId="1" xfId="0" applyFont="1" applyBorder="1" applyAlignment="1" applyProtection="1">
      <alignment horizontal="center"/>
      <protection locked="0"/>
    </xf>
    <xf numFmtId="166" fontId="18" fillId="0" borderId="1" xfId="0" applyNumberFormat="1" applyFont="1" applyBorder="1" applyAlignment="1" applyProtection="1">
      <alignment horizontal="center"/>
      <protection locked="0"/>
    </xf>
    <xf numFmtId="0" fontId="18" fillId="0" borderId="3" xfId="0" applyFont="1" applyBorder="1" applyAlignment="1" applyProtection="1">
      <alignment horizontal="center"/>
      <protection locked="0"/>
    </xf>
    <xf numFmtId="2" fontId="18" fillId="0" borderId="4" xfId="0" applyNumberFormat="1" applyFont="1" applyBorder="1" applyAlignment="1" applyProtection="1">
      <alignment horizontal="center"/>
      <protection locked="0"/>
    </xf>
    <xf numFmtId="167" fontId="18" fillId="0" borderId="5" xfId="0" applyNumberFormat="1" applyFont="1" applyBorder="1" applyAlignment="1" applyProtection="1">
      <alignment horizontal="center"/>
      <protection locked="0"/>
    </xf>
    <xf numFmtId="1" fontId="18" fillId="0" borderId="5" xfId="0" applyNumberFormat="1" applyFont="1" applyBorder="1" applyAlignment="1" applyProtection="1">
      <alignment horizontal="center"/>
      <protection locked="0"/>
    </xf>
    <xf numFmtId="0" fontId="19" fillId="2" borderId="6" xfId="0" applyFont="1" applyFill="1" applyBorder="1" applyAlignment="1" applyProtection="1">
      <alignment horizontal="center"/>
      <protection locked="0"/>
    </xf>
    <xf numFmtId="14" fontId="15" fillId="0" borderId="5" xfId="0" applyNumberFormat="1" applyFont="1" applyBorder="1" applyAlignment="1" applyProtection="1">
      <alignment horizontal="center"/>
    </xf>
    <xf numFmtId="21" fontId="15" fillId="0" borderId="5" xfId="0" applyNumberFormat="1" applyFont="1" applyBorder="1" applyAlignment="1" applyProtection="1">
      <alignment horizontal="center"/>
    </xf>
    <xf numFmtId="0" fontId="15" fillId="0" borderId="5" xfId="0" applyFont="1" applyBorder="1" applyAlignment="1" applyProtection="1">
      <alignment horizontal="center"/>
    </xf>
    <xf numFmtId="1" fontId="18" fillId="0" borderId="4" xfId="0" applyNumberFormat="1" applyFont="1" applyBorder="1" applyAlignment="1" applyProtection="1">
      <alignment horizontal="center"/>
      <protection locked="0"/>
    </xf>
    <xf numFmtId="2" fontId="18" fillId="0" borderId="6" xfId="0" applyNumberFormat="1" applyFont="1" applyBorder="1" applyAlignment="1" applyProtection="1">
      <alignment horizontal="center"/>
      <protection locked="0"/>
    </xf>
    <xf numFmtId="0" fontId="20" fillId="0" borderId="0" xfId="0" applyFont="1" applyBorder="1"/>
    <xf numFmtId="0" fontId="20" fillId="0" borderId="0" xfId="0" applyFont="1" applyBorder="1" applyProtection="1"/>
    <xf numFmtId="0" fontId="20" fillId="0" borderId="0" xfId="0" applyFont="1"/>
    <xf numFmtId="0" fontId="14" fillId="2" borderId="0" xfId="0" applyFont="1" applyFill="1" applyBorder="1" applyAlignment="1" applyProtection="1">
      <alignment horizontal="centerContinuous" wrapText="1"/>
    </xf>
    <xf numFmtId="0" fontId="14" fillId="2" borderId="0" xfId="0" applyFont="1" applyFill="1" applyBorder="1" applyAlignment="1" applyProtection="1">
      <alignment horizontal="centerContinuous"/>
    </xf>
    <xf numFmtId="0" fontId="21" fillId="0" borderId="0" xfId="0" applyFont="1"/>
    <xf numFmtId="0" fontId="14" fillId="3" borderId="5" xfId="0" applyFont="1" applyFill="1" applyBorder="1" applyAlignment="1" applyProtection="1">
      <alignment horizontal="center" wrapText="1"/>
    </xf>
    <xf numFmtId="0" fontId="15" fillId="3" borderId="5" xfId="0" applyFont="1" applyFill="1" applyBorder="1" applyAlignment="1">
      <alignment horizontal="center" wrapText="1"/>
    </xf>
    <xf numFmtId="2" fontId="15" fillId="0" borderId="4" xfId="0" applyNumberFormat="1" applyFont="1" applyBorder="1" applyAlignment="1" applyProtection="1">
      <alignment horizontal="center"/>
    </xf>
    <xf numFmtId="166" fontId="15" fillId="0" borderId="5" xfId="0" applyNumberFormat="1" applyFont="1" applyBorder="1" applyAlignment="1" applyProtection="1">
      <alignment horizontal="center"/>
    </xf>
    <xf numFmtId="2" fontId="15" fillId="0" borderId="5" xfId="0" applyNumberFormat="1" applyFont="1" applyBorder="1" applyAlignment="1" applyProtection="1">
      <alignment horizontal="center" wrapText="1"/>
    </xf>
    <xf numFmtId="11" fontId="15" fillId="0" borderId="5" xfId="0" applyNumberFormat="1" applyFont="1" applyBorder="1" applyAlignment="1" applyProtection="1">
      <alignment horizontal="center"/>
    </xf>
    <xf numFmtId="167" fontId="15" fillId="0" borderId="5" xfId="0" applyNumberFormat="1" applyFont="1" applyBorder="1" applyAlignment="1" applyProtection="1">
      <alignment horizontal="center"/>
    </xf>
    <xf numFmtId="168" fontId="15" fillId="0" borderId="5" xfId="0" applyNumberFormat="1" applyFont="1" applyBorder="1" applyAlignment="1">
      <alignment horizontal="center"/>
    </xf>
    <xf numFmtId="2" fontId="15" fillId="0" borderId="5" xfId="0" applyNumberFormat="1" applyFont="1" applyBorder="1" applyAlignment="1">
      <alignment horizontal="center"/>
    </xf>
    <xf numFmtId="0" fontId="20" fillId="0" borderId="0" xfId="0" applyFont="1" applyBorder="1" applyAlignment="1"/>
    <xf numFmtId="0" fontId="20" fillId="0" borderId="0" xfId="0" applyFont="1" applyProtection="1"/>
    <xf numFmtId="0" fontId="14" fillId="0" borderId="0" xfId="0" applyFont="1" applyBorder="1" applyAlignment="1" applyProtection="1">
      <alignment wrapText="1"/>
    </xf>
    <xf numFmtId="16" fontId="20" fillId="0" borderId="0" xfId="0" applyNumberFormat="1" applyFont="1" applyBorder="1" applyProtection="1"/>
    <xf numFmtId="167" fontId="20" fillId="0" borderId="0" xfId="0" applyNumberFormat="1" applyFont="1" applyBorder="1" applyProtection="1"/>
    <xf numFmtId="2" fontId="20" fillId="0" borderId="0" xfId="0" applyNumberFormat="1" applyFont="1" applyBorder="1" applyProtection="1"/>
    <xf numFmtId="167" fontId="14" fillId="0" borderId="0" xfId="0" applyNumberFormat="1" applyFont="1" applyBorder="1" applyProtection="1"/>
    <xf numFmtId="2" fontId="14" fillId="0" borderId="0" xfId="0" applyNumberFormat="1" applyFont="1" applyBorder="1" applyProtection="1"/>
    <xf numFmtId="0" fontId="14" fillId="0" borderId="0" xfId="0" applyFont="1" applyAlignment="1">
      <alignment horizontal="right"/>
    </xf>
    <xf numFmtId="11" fontId="14" fillId="0" borderId="0" xfId="0" applyNumberFormat="1" applyFont="1"/>
    <xf numFmtId="0" fontId="15" fillId="3" borderId="0" xfId="0" applyFont="1" applyFill="1" applyBorder="1"/>
    <xf numFmtId="0" fontId="14" fillId="3" borderId="0" xfId="0" applyFont="1" applyFill="1" applyBorder="1"/>
    <xf numFmtId="0" fontId="26" fillId="3" borderId="0" xfId="0" applyFont="1" applyFill="1" applyBorder="1"/>
    <xf numFmtId="0" fontId="14" fillId="3" borderId="7" xfId="0" applyFont="1" applyFill="1" applyBorder="1" applyAlignment="1">
      <alignment horizontal="center"/>
    </xf>
    <xf numFmtId="0" fontId="14" fillId="3" borderId="7" xfId="0" applyFont="1" applyFill="1" applyBorder="1" applyAlignment="1" applyProtection="1">
      <alignment horizontal="center"/>
      <protection locked="0"/>
    </xf>
    <xf numFmtId="0" fontId="27" fillId="3" borderId="7" xfId="0" applyFont="1" applyFill="1" applyBorder="1" applyProtection="1">
      <protection locked="0"/>
    </xf>
    <xf numFmtId="165" fontId="20" fillId="3" borderId="7" xfId="0" applyNumberFormat="1" applyFont="1" applyFill="1" applyBorder="1" applyAlignment="1">
      <alignment horizontal="center"/>
    </xf>
    <xf numFmtId="165" fontId="20" fillId="3" borderId="0" xfId="0" applyNumberFormat="1" applyFont="1" applyFill="1" applyBorder="1" applyAlignment="1"/>
    <xf numFmtId="0" fontId="14" fillId="3" borderId="7" xfId="0" applyFont="1" applyFill="1" applyBorder="1" applyAlignment="1" applyProtection="1">
      <alignment horizontal="center" wrapText="1"/>
    </xf>
    <xf numFmtId="11" fontId="14" fillId="3" borderId="7" xfId="0" applyNumberFormat="1" applyFont="1" applyFill="1" applyBorder="1" applyAlignment="1" applyProtection="1">
      <alignment horizontal="center"/>
      <protection locked="0"/>
    </xf>
    <xf numFmtId="164" fontId="14" fillId="3" borderId="7" xfId="0" applyNumberFormat="1" applyFont="1" applyFill="1" applyBorder="1" applyAlignment="1" applyProtection="1">
      <alignment horizontal="center"/>
      <protection locked="0"/>
    </xf>
    <xf numFmtId="0" fontId="14" fillId="3" borderId="7" xfId="0" applyFont="1" applyFill="1" applyBorder="1" applyAlignment="1" applyProtection="1">
      <alignment horizontal="center"/>
    </xf>
    <xf numFmtId="0" fontId="27" fillId="3" borderId="11" xfId="0" applyFont="1" applyFill="1" applyBorder="1" applyProtection="1">
      <protection locked="0"/>
    </xf>
    <xf numFmtId="0" fontId="27" fillId="3" borderId="8" xfId="0" applyFont="1" applyFill="1" applyBorder="1"/>
    <xf numFmtId="164" fontId="14" fillId="3" borderId="7" xfId="0" applyNumberFormat="1" applyFont="1" applyFill="1" applyBorder="1" applyAlignment="1" applyProtection="1">
      <alignment horizontal="center"/>
    </xf>
    <xf numFmtId="0" fontId="14" fillId="3" borderId="0" xfId="0" applyFont="1" applyFill="1" applyBorder="1" applyAlignment="1" applyProtection="1">
      <alignment horizontal="center"/>
    </xf>
    <xf numFmtId="0" fontId="28" fillId="3" borderId="0" xfId="0" applyFont="1" applyFill="1" applyBorder="1"/>
    <xf numFmtId="0" fontId="15" fillId="3" borderId="1" xfId="0" applyFont="1" applyFill="1" applyBorder="1"/>
    <xf numFmtId="0" fontId="14" fillId="3" borderId="1" xfId="0" applyFont="1" applyFill="1" applyBorder="1"/>
    <xf numFmtId="0" fontId="29" fillId="3" borderId="7" xfId="0" applyFont="1" applyFill="1" applyBorder="1" applyAlignment="1" applyProtection="1">
      <alignment horizontal="center"/>
    </xf>
    <xf numFmtId="0" fontId="27" fillId="3" borderId="15" xfId="0" applyFont="1" applyFill="1" applyBorder="1" applyProtection="1">
      <protection locked="0"/>
    </xf>
    <xf numFmtId="0" fontId="28" fillId="3" borderId="8" xfId="0" applyFont="1" applyFill="1" applyBorder="1"/>
    <xf numFmtId="0" fontId="14" fillId="3" borderId="8" xfId="0" applyFont="1" applyFill="1" applyBorder="1"/>
    <xf numFmtId="168" fontId="14" fillId="3" borderId="0" xfId="0" applyNumberFormat="1" applyFont="1" applyFill="1" applyBorder="1" applyAlignment="1">
      <alignment horizontal="center"/>
    </xf>
    <xf numFmtId="9" fontId="14" fillId="3" borderId="7" xfId="0" applyNumberFormat="1" applyFont="1" applyFill="1" applyBorder="1" applyAlignment="1" applyProtection="1">
      <alignment horizontal="center"/>
      <protection locked="0"/>
    </xf>
    <xf numFmtId="0" fontId="14" fillId="3" borderId="1" xfId="0" applyFont="1" applyFill="1" applyBorder="1" applyAlignment="1"/>
    <xf numFmtId="22" fontId="14" fillId="3" borderId="0" xfId="0" applyNumberFormat="1" applyFont="1" applyFill="1" applyBorder="1" applyAlignment="1">
      <alignment horizontal="center"/>
    </xf>
    <xf numFmtId="0" fontId="14" fillId="3" borderId="7" xfId="0" applyFont="1" applyFill="1" applyBorder="1" applyAlignment="1" applyProtection="1">
      <alignment horizontal="center" vertical="center" wrapText="1"/>
      <protection locked="0"/>
    </xf>
    <xf numFmtId="2" fontId="14" fillId="3" borderId="0" xfId="0" applyNumberFormat="1" applyFont="1" applyFill="1" applyBorder="1"/>
    <xf numFmtId="0" fontId="30" fillId="3" borderId="0" xfId="0" applyFont="1" applyFill="1" applyBorder="1"/>
    <xf numFmtId="0" fontId="14" fillId="3" borderId="11" xfId="0" applyFont="1" applyFill="1" applyBorder="1" applyAlignment="1">
      <alignment horizontal="center"/>
    </xf>
    <xf numFmtId="0" fontId="14" fillId="3" borderId="7" xfId="0" applyFont="1" applyFill="1" applyBorder="1"/>
    <xf numFmtId="0" fontId="28" fillId="3" borderId="0" xfId="0" applyFont="1" applyFill="1" applyBorder="1" applyAlignment="1">
      <alignment horizontal="center"/>
    </xf>
    <xf numFmtId="0" fontId="14" fillId="3" borderId="4" xfId="0" applyFont="1" applyFill="1" applyBorder="1" applyProtection="1"/>
    <xf numFmtId="0" fontId="14" fillId="3" borderId="5" xfId="0" applyFont="1" applyFill="1" applyBorder="1" applyProtection="1"/>
    <xf numFmtId="0" fontId="14" fillId="3" borderId="6" xfId="0" applyFont="1" applyFill="1" applyBorder="1" applyProtection="1"/>
    <xf numFmtId="0" fontId="14" fillId="3" borderId="0" xfId="0" applyFont="1" applyFill="1" applyBorder="1" applyAlignment="1">
      <alignment horizontal="center"/>
    </xf>
    <xf numFmtId="0" fontId="30" fillId="3" borderId="9" xfId="0" applyFont="1" applyFill="1" applyBorder="1" applyAlignment="1">
      <alignment horizontal="center" wrapText="1"/>
    </xf>
    <xf numFmtId="14" fontId="30" fillId="3" borderId="8" xfId="0" applyNumberFormat="1" applyFont="1" applyFill="1" applyBorder="1" applyAlignment="1">
      <alignment horizontal="center" wrapText="1"/>
    </xf>
    <xf numFmtId="169" fontId="30" fillId="3" borderId="8" xfId="0" applyNumberFormat="1" applyFont="1" applyFill="1" applyBorder="1" applyAlignment="1">
      <alignment horizontal="center" wrapText="1"/>
    </xf>
    <xf numFmtId="0" fontId="30" fillId="3" borderId="8" xfId="0" applyFont="1" applyFill="1" applyBorder="1" applyAlignment="1">
      <alignment horizontal="center" wrapText="1"/>
    </xf>
    <xf numFmtId="11" fontId="30" fillId="3" borderId="8" xfId="0" applyNumberFormat="1" applyFont="1" applyFill="1" applyBorder="1" applyAlignment="1">
      <alignment horizontal="center" wrapText="1"/>
    </xf>
    <xf numFmtId="0" fontId="30" fillId="3" borderId="0" xfId="0" applyFont="1" applyFill="1" applyAlignment="1">
      <alignment horizontal="center" wrapText="1"/>
    </xf>
    <xf numFmtId="0" fontId="30" fillId="3" borderId="10" xfId="0" applyFont="1" applyFill="1" applyBorder="1" applyAlignment="1">
      <alignment horizontal="center" wrapText="1"/>
    </xf>
    <xf numFmtId="0" fontId="30" fillId="3" borderId="0" xfId="0" applyFont="1" applyFill="1" applyAlignment="1">
      <alignment wrapText="1"/>
    </xf>
    <xf numFmtId="16" fontId="20" fillId="3" borderId="4" xfId="0" applyNumberFormat="1" applyFont="1" applyFill="1" applyBorder="1" applyAlignment="1">
      <alignment horizontal="center"/>
    </xf>
    <xf numFmtId="169" fontId="20" fillId="3" borderId="5" xfId="0" applyNumberFormat="1" applyFont="1" applyFill="1" applyBorder="1" applyAlignment="1">
      <alignment horizontal="center"/>
    </xf>
    <xf numFmtId="19" fontId="20" fillId="3" borderId="5" xfId="0" applyNumberFormat="1" applyFont="1" applyFill="1" applyBorder="1" applyAlignment="1">
      <alignment horizontal="center"/>
    </xf>
    <xf numFmtId="2" fontId="20" fillId="3" borderId="5" xfId="0" applyNumberFormat="1" applyFont="1" applyFill="1" applyBorder="1" applyAlignment="1">
      <alignment horizontal="center"/>
    </xf>
    <xf numFmtId="0" fontId="20" fillId="3" borderId="5" xfId="0" applyFont="1" applyFill="1" applyBorder="1" applyAlignment="1">
      <alignment horizontal="center"/>
    </xf>
    <xf numFmtId="11" fontId="20" fillId="3" borderId="5" xfId="0" applyNumberFormat="1" applyFont="1" applyFill="1" applyBorder="1" applyAlignment="1">
      <alignment horizontal="center"/>
    </xf>
    <xf numFmtId="166" fontId="20" fillId="3" borderId="5" xfId="0" applyNumberFormat="1" applyFont="1" applyFill="1" applyBorder="1" applyAlignment="1">
      <alignment horizontal="center"/>
    </xf>
    <xf numFmtId="168" fontId="20" fillId="3" borderId="5" xfId="0" applyNumberFormat="1" applyFont="1" applyFill="1" applyBorder="1" applyAlignment="1">
      <alignment horizontal="center"/>
    </xf>
    <xf numFmtId="164" fontId="20" fillId="3" borderId="5" xfId="0" applyNumberFormat="1" applyFont="1" applyFill="1" applyBorder="1" applyAlignment="1">
      <alignment horizontal="center"/>
    </xf>
    <xf numFmtId="0" fontId="20" fillId="3" borderId="6" xfId="0" applyFont="1" applyFill="1" applyBorder="1" applyAlignment="1">
      <alignment horizontal="center"/>
    </xf>
    <xf numFmtId="0" fontId="20" fillId="3" borderId="0" xfId="0" applyFont="1" applyFill="1"/>
    <xf numFmtId="0" fontId="32" fillId="3" borderId="0" xfId="0" applyFont="1" applyFill="1"/>
    <xf numFmtId="2" fontId="20" fillId="3" borderId="0" xfId="0" applyNumberFormat="1" applyFont="1" applyFill="1"/>
    <xf numFmtId="11" fontId="20" fillId="3" borderId="0" xfId="0" applyNumberFormat="1" applyFont="1" applyFill="1"/>
    <xf numFmtId="0" fontId="14" fillId="3" borderId="0" xfId="0" applyFont="1" applyFill="1"/>
    <xf numFmtId="11" fontId="14" fillId="3" borderId="0" xfId="0" applyNumberFormat="1" applyFont="1" applyFill="1"/>
    <xf numFmtId="14" fontId="20" fillId="3" borderId="0" xfId="0" applyNumberFormat="1" applyFont="1" applyFill="1"/>
    <xf numFmtId="0" fontId="20" fillId="3" borderId="0" xfId="0" applyNumberFormat="1" applyFont="1" applyFill="1"/>
    <xf numFmtId="170" fontId="20" fillId="3" borderId="0" xfId="0" applyNumberFormat="1" applyFont="1" applyFill="1"/>
    <xf numFmtId="16" fontId="20" fillId="0" borderId="0" xfId="0" applyNumberFormat="1" applyFont="1"/>
    <xf numFmtId="0" fontId="14" fillId="0" borderId="1" xfId="0" applyNumberFormat="1" applyFont="1" applyBorder="1" applyAlignment="1">
      <alignment horizontal="center" vertical="center" wrapText="1"/>
    </xf>
    <xf numFmtId="14" fontId="20" fillId="0" borderId="0" xfId="0" applyNumberFormat="1" applyFont="1"/>
    <xf numFmtId="11" fontId="20" fillId="0" borderId="0" xfId="0" applyNumberFormat="1" applyFont="1" applyAlignment="1">
      <alignment horizontal="center"/>
    </xf>
    <xf numFmtId="166" fontId="20" fillId="0" borderId="0" xfId="0" applyNumberFormat="1" applyFont="1" applyAlignment="1">
      <alignment horizontal="center"/>
    </xf>
    <xf numFmtId="0" fontId="20" fillId="0" borderId="0" xfId="0" applyNumberFormat="1" applyFont="1"/>
    <xf numFmtId="11" fontId="20" fillId="0" borderId="0" xfId="0" applyNumberFormat="1" applyFont="1"/>
    <xf numFmtId="165" fontId="20" fillId="0" borderId="0" xfId="0" applyNumberFormat="1" applyFont="1" applyAlignment="1">
      <alignment horizontal="center"/>
    </xf>
    <xf numFmtId="2" fontId="20" fillId="0" borderId="0" xfId="0" applyNumberFormat="1" applyFont="1" applyAlignment="1">
      <alignment horizontal="center"/>
    </xf>
    <xf numFmtId="0" fontId="33" fillId="6" borderId="0" xfId="0" applyFont="1" applyFill="1"/>
    <xf numFmtId="0" fontId="20" fillId="5" borderId="0" xfId="0" applyFont="1" applyFill="1"/>
    <xf numFmtId="0" fontId="20" fillId="7" borderId="0" xfId="0" applyFont="1" applyFill="1"/>
    <xf numFmtId="0" fontId="20" fillId="8" borderId="0" xfId="0" applyFont="1" applyFill="1"/>
    <xf numFmtId="0" fontId="20" fillId="11" borderId="0" xfId="0" applyFont="1" applyFill="1"/>
    <xf numFmtId="0" fontId="20" fillId="10" borderId="0" xfId="0" applyFont="1" applyFill="1"/>
    <xf numFmtId="0" fontId="20" fillId="12" borderId="0" xfId="0" applyFont="1" applyFill="1"/>
    <xf numFmtId="0" fontId="20" fillId="9" borderId="0" xfId="0" applyFont="1" applyFill="1"/>
    <xf numFmtId="0" fontId="20" fillId="13" borderId="0" xfId="0" applyFont="1" applyFill="1"/>
    <xf numFmtId="0" fontId="20" fillId="14" borderId="0" xfId="0" applyFont="1" applyFill="1"/>
    <xf numFmtId="0" fontId="20" fillId="15" borderId="0" xfId="0" applyFont="1" applyFill="1"/>
    <xf numFmtId="0" fontId="20" fillId="16" borderId="0" xfId="0" applyFont="1" applyFill="1"/>
    <xf numFmtId="0" fontId="20" fillId="17" borderId="0" xfId="0" applyFont="1" applyFill="1"/>
    <xf numFmtId="0" fontId="20" fillId="18" borderId="0" xfId="0" applyFont="1" applyFill="1"/>
    <xf numFmtId="0" fontId="20" fillId="19" borderId="0" xfId="0" applyFont="1" applyFill="1"/>
    <xf numFmtId="0" fontId="20" fillId="0" borderId="0" xfId="0" applyFont="1" applyFill="1"/>
    <xf numFmtId="0" fontId="15" fillId="3" borderId="0" xfId="0" applyFont="1" applyFill="1" applyBorder="1" applyAlignment="1" applyProtection="1">
      <alignment horizontal="left"/>
      <protection locked="0"/>
    </xf>
    <xf numFmtId="0" fontId="20" fillId="3" borderId="0" xfId="0" applyFont="1" applyFill="1" applyBorder="1" applyAlignment="1" applyProtection="1">
      <alignment horizontal="center"/>
      <protection locked="0"/>
    </xf>
    <xf numFmtId="0" fontId="20" fillId="4" borderId="7" xfId="0" applyFont="1" applyFill="1" applyBorder="1" applyAlignment="1">
      <alignment horizontal="center"/>
    </xf>
    <xf numFmtId="14" fontId="20" fillId="3" borderId="7" xfId="0" applyNumberFormat="1" applyFont="1" applyFill="1" applyBorder="1" applyAlignment="1">
      <alignment horizontal="center"/>
    </xf>
    <xf numFmtId="16" fontId="14" fillId="3" borderId="0" xfId="0" applyNumberFormat="1" applyFont="1" applyFill="1" applyBorder="1" applyAlignment="1" applyProtection="1">
      <alignment horizontal="center"/>
      <protection locked="0"/>
    </xf>
    <xf numFmtId="0" fontId="20" fillId="3" borderId="0" xfId="0" applyFont="1" applyFill="1" applyAlignment="1">
      <alignment horizontal="center"/>
    </xf>
    <xf numFmtId="0" fontId="20" fillId="3" borderId="0" xfId="0" applyFont="1" applyFill="1" applyBorder="1" applyAlignment="1">
      <alignment horizontal="center"/>
    </xf>
    <xf numFmtId="0" fontId="20" fillId="3" borderId="0" xfId="0" applyFont="1" applyFill="1" applyBorder="1" applyAlignment="1" applyProtection="1">
      <alignment horizontal="left"/>
    </xf>
    <xf numFmtId="0" fontId="20" fillId="3" borderId="7" xfId="0" applyFont="1" applyFill="1" applyBorder="1" applyAlignment="1">
      <alignment horizontal="left"/>
    </xf>
    <xf numFmtId="0" fontId="20" fillId="3" borderId="7" xfId="0" applyFont="1" applyFill="1" applyBorder="1" applyAlignment="1" applyProtection="1">
      <alignment horizontal="center"/>
      <protection locked="0"/>
    </xf>
    <xf numFmtId="0" fontId="14" fillId="3" borderId="0" xfId="0" applyFont="1" applyFill="1" applyBorder="1" applyAlignment="1" applyProtection="1">
      <alignment horizontal="center" wrapText="1"/>
    </xf>
    <xf numFmtId="16" fontId="20" fillId="4" borderId="7" xfId="0" applyNumberFormat="1" applyFont="1" applyFill="1" applyBorder="1" applyAlignment="1">
      <alignment horizontal="center"/>
    </xf>
    <xf numFmtId="19" fontId="20" fillId="3" borderId="7" xfId="0" applyNumberFormat="1" applyFont="1" applyFill="1" applyBorder="1" applyAlignment="1" applyProtection="1">
      <alignment horizontal="center"/>
    </xf>
    <xf numFmtId="0" fontId="20" fillId="3" borderId="0" xfId="0" applyFont="1" applyFill="1" applyBorder="1" applyAlignment="1" applyProtection="1">
      <alignment horizontal="center"/>
    </xf>
    <xf numFmtId="0" fontId="20" fillId="3" borderId="0" xfId="0" applyFont="1" applyFill="1" applyBorder="1" applyAlignment="1">
      <alignment horizontal="left"/>
    </xf>
    <xf numFmtId="0" fontId="20" fillId="3" borderId="0" xfId="0" quotePrefix="1" applyFont="1" applyFill="1" applyAlignment="1">
      <alignment horizontal="center"/>
    </xf>
    <xf numFmtId="14" fontId="20" fillId="3" borderId="0" xfId="0" applyNumberFormat="1" applyFont="1" applyFill="1" applyBorder="1" applyAlignment="1" applyProtection="1">
      <alignment horizontal="center"/>
      <protection locked="0"/>
    </xf>
    <xf numFmtId="2" fontId="20" fillId="3" borderId="7" xfId="0" applyNumberFormat="1" applyFont="1" applyFill="1" applyBorder="1" applyAlignment="1" applyProtection="1">
      <alignment horizontal="center"/>
    </xf>
    <xf numFmtId="19" fontId="20" fillId="3" borderId="0" xfId="0" applyNumberFormat="1" applyFont="1" applyFill="1" applyBorder="1" applyAlignment="1">
      <alignment horizontal="center"/>
    </xf>
    <xf numFmtId="0" fontId="20" fillId="3" borderId="0" xfId="0" applyFont="1" applyFill="1" applyAlignment="1">
      <alignment horizontal="left"/>
    </xf>
    <xf numFmtId="0" fontId="14" fillId="3" borderId="0" xfId="0" applyFont="1" applyFill="1" applyBorder="1" applyAlignment="1" applyProtection="1">
      <alignment horizontal="center"/>
      <protection locked="0"/>
    </xf>
    <xf numFmtId="0" fontId="20" fillId="3" borderId="7" xfId="0" applyFont="1" applyFill="1" applyBorder="1" applyAlignment="1" applyProtection="1">
      <alignment horizontal="left"/>
      <protection locked="0"/>
    </xf>
    <xf numFmtId="11" fontId="14" fillId="3" borderId="0" xfId="0" applyNumberFormat="1" applyFont="1" applyFill="1" applyBorder="1" applyAlignment="1">
      <alignment horizontal="center"/>
    </xf>
    <xf numFmtId="0" fontId="14" fillId="4" borderId="4" xfId="0" applyFont="1" applyFill="1" applyBorder="1" applyAlignment="1" applyProtection="1">
      <alignment horizontal="center" wrapText="1"/>
    </xf>
    <xf numFmtId="0" fontId="14" fillId="4" borderId="5" xfId="0" applyFont="1" applyFill="1" applyBorder="1" applyAlignment="1" applyProtection="1">
      <alignment horizontal="center" wrapText="1"/>
    </xf>
    <xf numFmtId="0" fontId="14" fillId="4" borderId="5" xfId="0" applyFont="1" applyFill="1" applyBorder="1" applyAlignment="1">
      <alignment horizontal="center" wrapText="1"/>
    </xf>
    <xf numFmtId="0" fontId="14" fillId="4" borderId="6" xfId="0" applyFont="1" applyFill="1" applyBorder="1" applyAlignment="1" applyProtection="1">
      <alignment horizontal="center" wrapText="1"/>
    </xf>
    <xf numFmtId="0" fontId="20" fillId="3" borderId="4" xfId="0" applyNumberFormat="1" applyFont="1" applyFill="1" applyBorder="1" applyAlignment="1" applyProtection="1">
      <alignment horizontal="center"/>
      <protection locked="0"/>
    </xf>
    <xf numFmtId="2" fontId="20" fillId="3" borderId="5" xfId="0" applyNumberFormat="1" applyFont="1" applyFill="1" applyBorder="1" applyAlignment="1" applyProtection="1">
      <alignment horizontal="center" wrapText="1"/>
      <protection locked="0"/>
    </xf>
    <xf numFmtId="11" fontId="20" fillId="3" borderId="5" xfId="0" applyNumberFormat="1" applyFont="1" applyFill="1" applyBorder="1" applyAlignment="1" applyProtection="1">
      <alignment horizontal="center"/>
      <protection locked="0"/>
    </xf>
    <xf numFmtId="165" fontId="20" fillId="3" borderId="5" xfId="0" applyNumberFormat="1" applyFont="1" applyFill="1" applyBorder="1" applyAlignment="1">
      <alignment horizontal="center"/>
    </xf>
    <xf numFmtId="167" fontId="20" fillId="3" borderId="5" xfId="0" applyNumberFormat="1" applyFont="1" applyFill="1" applyBorder="1" applyAlignment="1" applyProtection="1">
      <alignment horizontal="center"/>
    </xf>
    <xf numFmtId="11" fontId="20" fillId="3" borderId="5" xfId="0" applyNumberFormat="1" applyFont="1" applyFill="1" applyBorder="1" applyAlignment="1" applyProtection="1">
      <alignment horizontal="center"/>
    </xf>
    <xf numFmtId="171" fontId="20" fillId="3" borderId="5" xfId="0" applyNumberFormat="1" applyFont="1" applyFill="1" applyBorder="1" applyAlignment="1" applyProtection="1">
      <alignment horizontal="center"/>
    </xf>
    <xf numFmtId="2" fontId="20" fillId="3" borderId="5" xfId="0" applyNumberFormat="1" applyFont="1" applyFill="1" applyBorder="1" applyAlignment="1" applyProtection="1">
      <alignment horizontal="center"/>
    </xf>
    <xf numFmtId="166" fontId="20" fillId="3" borderId="5" xfId="0" applyNumberFormat="1" applyFont="1" applyFill="1" applyBorder="1" applyAlignment="1" applyProtection="1">
      <alignment horizontal="center"/>
    </xf>
    <xf numFmtId="168" fontId="20" fillId="3" borderId="5" xfId="0" applyNumberFormat="1" applyFont="1" applyFill="1" applyBorder="1" applyAlignment="1" applyProtection="1">
      <alignment horizontal="center"/>
    </xf>
    <xf numFmtId="167" fontId="20" fillId="3" borderId="1" xfId="0" applyNumberFormat="1" applyFont="1" applyFill="1" applyBorder="1" applyAlignment="1" applyProtection="1">
      <alignment horizontal="center"/>
    </xf>
    <xf numFmtId="2" fontId="20" fillId="3" borderId="1" xfId="0" applyNumberFormat="1" applyFont="1" applyFill="1" applyBorder="1" applyAlignment="1">
      <alignment horizontal="center"/>
    </xf>
    <xf numFmtId="2" fontId="20" fillId="3" borderId="3" xfId="0" applyNumberFormat="1" applyFont="1" applyFill="1" applyBorder="1" applyAlignment="1">
      <alignment horizontal="center"/>
    </xf>
    <xf numFmtId="11" fontId="20" fillId="3" borderId="0" xfId="0" applyNumberFormat="1" applyFont="1" applyFill="1" applyBorder="1" applyAlignment="1" applyProtection="1">
      <alignment horizontal="center"/>
    </xf>
    <xf numFmtId="167" fontId="20" fillId="3" borderId="0" xfId="0" applyNumberFormat="1" applyFont="1" applyFill="1" applyBorder="1" applyAlignment="1" applyProtection="1">
      <alignment horizontal="center"/>
    </xf>
    <xf numFmtId="2" fontId="20" fillId="3" borderId="0" xfId="0" applyNumberFormat="1" applyFont="1" applyFill="1" applyBorder="1" applyAlignment="1" applyProtection="1">
      <alignment horizontal="center"/>
    </xf>
    <xf numFmtId="1" fontId="20" fillId="3" borderId="0" xfId="0" applyNumberFormat="1" applyFont="1" applyFill="1" applyBorder="1" applyAlignment="1" applyProtection="1">
      <alignment horizontal="center"/>
    </xf>
    <xf numFmtId="0" fontId="20" fillId="3" borderId="0" xfId="0" applyFont="1" applyFill="1" applyBorder="1" applyAlignment="1" applyProtection="1">
      <alignment horizontal="left"/>
      <protection locked="0"/>
    </xf>
    <xf numFmtId="0" fontId="20" fillId="3" borderId="0" xfId="0" applyFont="1" applyFill="1" applyBorder="1" applyAlignment="1" applyProtection="1">
      <alignment horizontal="center" wrapText="1"/>
    </xf>
    <xf numFmtId="14" fontId="14" fillId="4" borderId="4" xfId="0" applyNumberFormat="1" applyFont="1" applyFill="1" applyBorder="1" applyAlignment="1" applyProtection="1">
      <alignment horizontal="center" wrapText="1"/>
    </xf>
    <xf numFmtId="21" fontId="14" fillId="4" borderId="5" xfId="0" applyNumberFormat="1" applyFont="1" applyFill="1" applyBorder="1" applyAlignment="1" applyProtection="1">
      <alignment horizontal="center" wrapText="1"/>
    </xf>
    <xf numFmtId="0" fontId="14" fillId="4" borderId="6" xfId="0" applyFont="1" applyFill="1" applyBorder="1" applyAlignment="1">
      <alignment horizontal="center" wrapText="1"/>
    </xf>
    <xf numFmtId="11" fontId="37" fillId="3" borderId="0" xfId="0" applyNumberFormat="1" applyFont="1" applyFill="1" applyBorder="1" applyAlignment="1" applyProtection="1">
      <alignment horizontal="center"/>
      <protection locked="0"/>
    </xf>
    <xf numFmtId="165" fontId="37" fillId="3" borderId="0" xfId="0" applyNumberFormat="1" applyFont="1" applyFill="1" applyBorder="1" applyAlignment="1" applyProtection="1">
      <alignment horizontal="center"/>
      <protection locked="0"/>
    </xf>
    <xf numFmtId="165" fontId="20" fillId="3" borderId="0" xfId="0" applyNumberFormat="1" applyFont="1" applyFill="1" applyBorder="1" applyAlignment="1" applyProtection="1">
      <alignment horizontal="center"/>
      <protection locked="0"/>
    </xf>
    <xf numFmtId="2" fontId="20" fillId="3" borderId="0" xfId="0" applyNumberFormat="1" applyFont="1" applyFill="1" applyBorder="1" applyAlignment="1" applyProtection="1">
      <alignment horizontal="center"/>
      <protection locked="0"/>
    </xf>
    <xf numFmtId="11" fontId="20" fillId="3" borderId="0" xfId="0" applyNumberFormat="1" applyFont="1" applyFill="1" applyBorder="1" applyAlignment="1" applyProtection="1">
      <alignment horizontal="center"/>
      <protection locked="0"/>
    </xf>
    <xf numFmtId="171" fontId="20" fillId="3" borderId="0" xfId="0" applyNumberFormat="1" applyFont="1" applyFill="1" applyBorder="1" applyAlignment="1">
      <alignment horizontal="center"/>
    </xf>
    <xf numFmtId="11" fontId="20" fillId="3" borderId="0" xfId="0" applyNumberFormat="1" applyFont="1" applyFill="1" applyBorder="1" applyAlignment="1">
      <alignment horizontal="center"/>
    </xf>
    <xf numFmtId="11" fontId="20" fillId="3" borderId="0" xfId="0" applyNumberFormat="1" applyFont="1" applyFill="1" applyAlignment="1">
      <alignment horizontal="center"/>
    </xf>
    <xf numFmtId="1" fontId="20" fillId="3" borderId="0" xfId="0" applyNumberFormat="1" applyFont="1" applyFill="1" applyBorder="1" applyAlignment="1" applyProtection="1">
      <alignment horizontal="center"/>
      <protection locked="0"/>
    </xf>
    <xf numFmtId="2" fontId="20" fillId="3" borderId="0" xfId="0" applyNumberFormat="1" applyFont="1" applyFill="1" applyBorder="1" applyAlignment="1">
      <alignment horizontal="center"/>
    </xf>
    <xf numFmtId="168" fontId="20" fillId="3" borderId="0" xfId="0" applyNumberFormat="1" applyFont="1" applyFill="1" applyAlignment="1">
      <alignment horizontal="center"/>
    </xf>
    <xf numFmtId="0" fontId="37" fillId="3" borderId="0" xfId="0" applyFont="1" applyFill="1" applyBorder="1" applyAlignment="1">
      <alignment horizontal="left"/>
    </xf>
    <xf numFmtId="0" fontId="37" fillId="3" borderId="0" xfId="0" applyNumberFormat="1" applyFont="1" applyFill="1" applyBorder="1" applyAlignment="1" applyProtection="1">
      <alignment horizontal="center"/>
      <protection locked="0"/>
    </xf>
    <xf numFmtId="11" fontId="37" fillId="3" borderId="0" xfId="0" applyNumberFormat="1" applyFont="1" applyFill="1" applyBorder="1" applyAlignment="1">
      <alignment horizontal="center"/>
    </xf>
    <xf numFmtId="0" fontId="20" fillId="3" borderId="0" xfId="0" applyNumberFormat="1" applyFont="1" applyFill="1" applyAlignment="1">
      <alignment horizontal="center"/>
    </xf>
    <xf numFmtId="0" fontId="37" fillId="3" borderId="0" xfId="0" applyNumberFormat="1" applyFont="1" applyFill="1" applyBorder="1" applyAlignment="1">
      <alignment horizontal="center"/>
    </xf>
    <xf numFmtId="0" fontId="37" fillId="3" borderId="0" xfId="0" applyFont="1" applyFill="1" applyBorder="1" applyAlignment="1">
      <alignment horizontal="center"/>
    </xf>
    <xf numFmtId="0" fontId="37" fillId="3" borderId="0" xfId="0" applyFont="1" applyFill="1" applyBorder="1" applyAlignment="1" applyProtection="1">
      <alignment horizontal="center"/>
      <protection locked="0"/>
    </xf>
    <xf numFmtId="0" fontId="37" fillId="3" borderId="0" xfId="0" applyNumberFormat="1" applyFont="1" applyFill="1" applyBorder="1" applyAlignment="1">
      <alignment horizontal="left"/>
    </xf>
    <xf numFmtId="0" fontId="20" fillId="3" borderId="0" xfId="0" applyNumberFormat="1" applyFont="1" applyFill="1" applyBorder="1" applyAlignment="1">
      <alignment horizontal="center"/>
    </xf>
    <xf numFmtId="0" fontId="37" fillId="3" borderId="0" xfId="0" applyNumberFormat="1" applyFont="1" applyFill="1" applyBorder="1" applyAlignment="1">
      <alignment horizontal="center" wrapText="1"/>
    </xf>
    <xf numFmtId="0" fontId="37" fillId="3" borderId="0" xfId="0" applyFont="1" applyFill="1" applyBorder="1" applyAlignment="1">
      <alignment horizontal="center" wrapText="1"/>
    </xf>
    <xf numFmtId="0" fontId="20" fillId="3" borderId="0" xfId="0" applyFont="1" applyFill="1" applyBorder="1" applyAlignment="1">
      <alignment horizontal="center" wrapText="1"/>
    </xf>
    <xf numFmtId="11" fontId="20" fillId="3" borderId="0" xfId="0" applyNumberFormat="1" applyFont="1" applyFill="1" applyBorder="1" applyAlignment="1">
      <alignment horizontal="center" wrapText="1"/>
    </xf>
    <xf numFmtId="16" fontId="37" fillId="3" borderId="0" xfId="0" applyNumberFormat="1" applyFont="1" applyFill="1" applyBorder="1" applyAlignment="1">
      <alignment horizontal="left"/>
    </xf>
    <xf numFmtId="167" fontId="20" fillId="3" borderId="0" xfId="0" applyNumberFormat="1" applyFont="1" applyFill="1" applyBorder="1" applyAlignment="1">
      <alignment horizontal="center"/>
    </xf>
    <xf numFmtId="166" fontId="20" fillId="3" borderId="0" xfId="0" applyNumberFormat="1" applyFont="1" applyFill="1" applyBorder="1" applyAlignment="1">
      <alignment horizontal="center"/>
    </xf>
    <xf numFmtId="0" fontId="37" fillId="3" borderId="0" xfId="0" applyFont="1" applyFill="1" applyAlignment="1">
      <alignment horizontal="left"/>
    </xf>
    <xf numFmtId="0" fontId="37" fillId="3" borderId="0" xfId="0" applyNumberFormat="1" applyFont="1" applyFill="1" applyAlignment="1">
      <alignment horizontal="center"/>
    </xf>
    <xf numFmtId="0" fontId="37" fillId="3" borderId="0" xfId="0" applyFont="1" applyFill="1" applyAlignment="1">
      <alignment horizontal="center"/>
    </xf>
    <xf numFmtId="11" fontId="37" fillId="3" borderId="0" xfId="0" applyNumberFormat="1" applyFont="1" applyFill="1" applyAlignment="1">
      <alignment horizontal="center"/>
    </xf>
    <xf numFmtId="0" fontId="24" fillId="0" borderId="9" xfId="0" applyFont="1" applyBorder="1" applyAlignment="1">
      <alignment horizontal="center" vertical="center"/>
    </xf>
    <xf numFmtId="0" fontId="24" fillId="0" borderId="8" xfId="0" applyFont="1" applyBorder="1" applyAlignment="1">
      <alignment horizontal="center" vertical="center"/>
    </xf>
    <xf numFmtId="0" fontId="24" fillId="0" borderId="10" xfId="0" applyFont="1" applyBorder="1" applyAlignment="1">
      <alignment horizontal="center" vertical="center"/>
    </xf>
    <xf numFmtId="0" fontId="24" fillId="0" borderId="2" xfId="0" applyFont="1" applyBorder="1" applyAlignment="1">
      <alignment horizontal="center" vertical="center"/>
    </xf>
    <xf numFmtId="0" fontId="24" fillId="0" borderId="1" xfId="0" applyFont="1" applyBorder="1" applyAlignment="1">
      <alignment horizontal="center" vertical="center"/>
    </xf>
    <xf numFmtId="0" fontId="24" fillId="0" borderId="3" xfId="0" applyFont="1" applyBorder="1" applyAlignment="1">
      <alignment horizontal="center" vertical="center"/>
    </xf>
    <xf numFmtId="0" fontId="25" fillId="2" borderId="11" xfId="0" applyFont="1" applyFill="1" applyBorder="1" applyAlignment="1">
      <alignment horizontal="center" vertical="center"/>
    </xf>
    <xf numFmtId="0" fontId="25" fillId="2" borderId="12" xfId="0" applyFont="1" applyFill="1" applyBorder="1" applyAlignment="1">
      <alignment horizontal="center" vertical="center"/>
    </xf>
    <xf numFmtId="0" fontId="23" fillId="0" borderId="9" xfId="0" applyFont="1" applyBorder="1" applyAlignment="1">
      <alignment horizontal="center"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13"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4"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1" xfId="0" applyFont="1" applyBorder="1" applyAlignment="1">
      <alignment horizontal="center" vertical="center" wrapText="1"/>
    </xf>
    <xf numFmtId="0" fontId="23" fillId="0" borderId="3" xfId="0" applyFont="1" applyBorder="1" applyAlignment="1">
      <alignment horizontal="center" vertical="center" wrapText="1"/>
    </xf>
    <xf numFmtId="0" fontId="20" fillId="3" borderId="0" xfId="0" applyFont="1" applyFill="1" applyAlignment="1">
      <alignment horizontal="left"/>
    </xf>
    <xf numFmtId="0" fontId="14" fillId="3" borderId="7" xfId="0" applyFont="1" applyFill="1" applyBorder="1" applyProtection="1">
      <protection locked="0"/>
    </xf>
    <xf numFmtId="0" fontId="14" fillId="3" borderId="11" xfId="0" applyFont="1" applyFill="1" applyBorder="1"/>
    <xf numFmtId="0" fontId="14" fillId="3" borderId="8" xfId="0" applyFont="1" applyFill="1" applyBorder="1"/>
    <xf numFmtId="0" fontId="14" fillId="3" borderId="4" xfId="0" applyFont="1" applyFill="1" applyBorder="1" applyProtection="1"/>
    <xf numFmtId="0" fontId="14" fillId="3" borderId="5" xfId="0" applyFont="1" applyFill="1" applyBorder="1" applyProtection="1"/>
    <xf numFmtId="0" fontId="14" fillId="3" borderId="6" xfId="0" applyFont="1" applyFill="1" applyBorder="1" applyProtection="1"/>
    <xf numFmtId="0" fontId="14" fillId="3" borderId="7" xfId="0" applyFont="1" applyFill="1" applyBorder="1"/>
    <xf numFmtId="0" fontId="14" fillId="3" borderId="4" xfId="0" applyFont="1" applyFill="1" applyBorder="1"/>
    <xf numFmtId="0" fontId="14" fillId="3" borderId="5" xfId="0" applyFont="1" applyFill="1" applyBorder="1"/>
    <xf numFmtId="0" fontId="14" fillId="3" borderId="6" xfId="0" applyFont="1" applyFill="1" applyBorder="1"/>
    <xf numFmtId="0" fontId="14" fillId="3" borderId="15" xfId="0" applyFont="1" applyFill="1" applyBorder="1"/>
  </cellXfs>
  <cellStyles count="2">
    <cellStyle name="Normal" xfId="0" builtinId="0"/>
    <cellStyle name="Normal_CommandLineGenerator" xfId="1"/>
  </cellStyles>
  <dxfs count="2">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2004EC"/>
      <color rgb="FF6D6D6D"/>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Illumination and Photoconductance</a:t>
            </a:r>
          </a:p>
        </c:rich>
      </c:tx>
      <c:layout/>
      <c:overlay val="0"/>
    </c:title>
    <c:autoTitleDeleted val="0"/>
    <c:plotArea>
      <c:layout>
        <c:manualLayout>
          <c:layoutTarget val="inner"/>
          <c:xMode val="edge"/>
          <c:yMode val="edge"/>
          <c:x val="0.11180039717476002"/>
          <c:y val="0.11206623436776286"/>
          <c:w val="0.75371251343821544"/>
          <c:h val="0.74692073241282131"/>
        </c:manualLayout>
      </c:layout>
      <c:scatterChart>
        <c:scatterStyle val="lineMarker"/>
        <c:varyColors val="0"/>
        <c:ser>
          <c:idx val="0"/>
          <c:order val="0"/>
          <c:tx>
            <c:v>Light Intensity (suns)</c:v>
          </c:tx>
          <c:spPr>
            <a:ln w="28575">
              <a:solidFill>
                <a:srgbClr val="2004EC"/>
              </a:solidFill>
            </a:ln>
          </c:spPr>
          <c:marker>
            <c:symbol val="none"/>
          </c:marker>
          <c:xVal>
            <c:numRef>
              <c:f>Calc!$A$9:$A$133</c:f>
              <c:numCache>
                <c:formatCode>0.00E+00</c:formatCode>
                <c:ptCount val="125"/>
                <c:pt idx="0">
                  <c:v>5.0000000000000002E-5</c:v>
                </c:pt>
                <c:pt idx="1">
                  <c:v>1.4999999999999999E-4</c:v>
                </c:pt>
                <c:pt idx="2">
                  <c:v>2.5000000000000001E-4</c:v>
                </c:pt>
                <c:pt idx="3">
                  <c:v>3.5E-4</c:v>
                </c:pt>
                <c:pt idx="4">
                  <c:v>4.4999999999999999E-4</c:v>
                </c:pt>
                <c:pt idx="5">
                  <c:v>5.5000000000000003E-4</c:v>
                </c:pt>
                <c:pt idx="6">
                  <c:v>6.4999999999999997E-4</c:v>
                </c:pt>
                <c:pt idx="7">
                  <c:v>7.5000000000000002E-4</c:v>
                </c:pt>
                <c:pt idx="8">
                  <c:v>8.4999999999999995E-4</c:v>
                </c:pt>
                <c:pt idx="9">
                  <c:v>9.5E-4</c:v>
                </c:pt>
                <c:pt idx="10">
                  <c:v>1.0499999999999999E-3</c:v>
                </c:pt>
                <c:pt idx="11">
                  <c:v>1.15E-3</c:v>
                </c:pt>
                <c:pt idx="12">
                  <c:v>1.25E-3</c:v>
                </c:pt>
                <c:pt idx="13">
                  <c:v>1.3500000000000001E-3</c:v>
                </c:pt>
                <c:pt idx="14">
                  <c:v>1.4499999999999999E-3</c:v>
                </c:pt>
                <c:pt idx="15">
                  <c:v>1.5499999999999999E-3</c:v>
                </c:pt>
                <c:pt idx="16">
                  <c:v>1.65E-3</c:v>
                </c:pt>
                <c:pt idx="17">
                  <c:v>1.75E-3</c:v>
                </c:pt>
                <c:pt idx="18">
                  <c:v>1.8500000000000001E-3</c:v>
                </c:pt>
                <c:pt idx="19">
                  <c:v>1.9499999999999999E-3</c:v>
                </c:pt>
                <c:pt idx="20">
                  <c:v>2.0500000000000002E-3</c:v>
                </c:pt>
                <c:pt idx="21">
                  <c:v>2.15E-3</c:v>
                </c:pt>
                <c:pt idx="22">
                  <c:v>2.2499999999999998E-3</c:v>
                </c:pt>
                <c:pt idx="23">
                  <c:v>2.3500000000000001E-3</c:v>
                </c:pt>
                <c:pt idx="24">
                  <c:v>2.4499999999999999E-3</c:v>
                </c:pt>
                <c:pt idx="25">
                  <c:v>2.5500000000000002E-3</c:v>
                </c:pt>
                <c:pt idx="26">
                  <c:v>2.65E-3</c:v>
                </c:pt>
                <c:pt idx="27">
                  <c:v>2.7499999999999998E-3</c:v>
                </c:pt>
                <c:pt idx="28">
                  <c:v>2.8500000000000001E-3</c:v>
                </c:pt>
                <c:pt idx="29">
                  <c:v>2.9499999999999999E-3</c:v>
                </c:pt>
                <c:pt idx="30">
                  <c:v>3.0500000000000002E-3</c:v>
                </c:pt>
                <c:pt idx="31">
                  <c:v>3.15E-3</c:v>
                </c:pt>
                <c:pt idx="32">
                  <c:v>3.2499999999999999E-3</c:v>
                </c:pt>
                <c:pt idx="33">
                  <c:v>3.3500000000000001E-3</c:v>
                </c:pt>
                <c:pt idx="34">
                  <c:v>3.4499999999999999E-3</c:v>
                </c:pt>
                <c:pt idx="35">
                  <c:v>3.5500000000000002E-3</c:v>
                </c:pt>
                <c:pt idx="36">
                  <c:v>3.65E-3</c:v>
                </c:pt>
                <c:pt idx="37">
                  <c:v>3.7499999999999999E-3</c:v>
                </c:pt>
                <c:pt idx="38">
                  <c:v>3.8500000000000001E-3</c:v>
                </c:pt>
                <c:pt idx="39">
                  <c:v>3.9500000000000004E-3</c:v>
                </c:pt>
                <c:pt idx="40">
                  <c:v>4.0499999999999998E-3</c:v>
                </c:pt>
                <c:pt idx="41">
                  <c:v>4.15E-3</c:v>
                </c:pt>
                <c:pt idx="42">
                  <c:v>4.2500000000000003E-3</c:v>
                </c:pt>
                <c:pt idx="43">
                  <c:v>4.3499999999999997E-3</c:v>
                </c:pt>
                <c:pt idx="44">
                  <c:v>4.45E-3</c:v>
                </c:pt>
                <c:pt idx="45">
                  <c:v>4.5500000000000002E-3</c:v>
                </c:pt>
                <c:pt idx="46">
                  <c:v>4.6499999999999996E-3</c:v>
                </c:pt>
                <c:pt idx="47">
                  <c:v>4.7499999999999999E-3</c:v>
                </c:pt>
                <c:pt idx="48">
                  <c:v>4.8500000000000001E-3</c:v>
                </c:pt>
                <c:pt idx="49">
                  <c:v>4.9500000000000004E-3</c:v>
                </c:pt>
                <c:pt idx="50">
                  <c:v>5.0499999999999998E-3</c:v>
                </c:pt>
                <c:pt idx="51">
                  <c:v>5.1500000000000001E-3</c:v>
                </c:pt>
                <c:pt idx="52">
                  <c:v>5.2500000000000003E-3</c:v>
                </c:pt>
                <c:pt idx="53">
                  <c:v>5.3499999999999997E-3</c:v>
                </c:pt>
                <c:pt idx="54">
                  <c:v>5.45E-3</c:v>
                </c:pt>
                <c:pt idx="55">
                  <c:v>5.5500000000000002E-3</c:v>
                </c:pt>
                <c:pt idx="56">
                  <c:v>5.6499999999999996E-3</c:v>
                </c:pt>
                <c:pt idx="57">
                  <c:v>5.7499999999999999E-3</c:v>
                </c:pt>
                <c:pt idx="58">
                  <c:v>5.8500000000000002E-3</c:v>
                </c:pt>
                <c:pt idx="59">
                  <c:v>5.9500000000000004E-3</c:v>
                </c:pt>
                <c:pt idx="60">
                  <c:v>6.0499999999999998E-3</c:v>
                </c:pt>
                <c:pt idx="61">
                  <c:v>6.1500000000000001E-3</c:v>
                </c:pt>
                <c:pt idx="62">
                  <c:v>6.2500000000000003E-3</c:v>
                </c:pt>
                <c:pt idx="63">
                  <c:v>6.3499999999999997E-3</c:v>
                </c:pt>
                <c:pt idx="64">
                  <c:v>6.45E-3</c:v>
                </c:pt>
                <c:pt idx="65">
                  <c:v>6.5500000000000003E-3</c:v>
                </c:pt>
                <c:pt idx="66">
                  <c:v>6.6499999999999997E-3</c:v>
                </c:pt>
                <c:pt idx="67">
                  <c:v>6.7499999999999999E-3</c:v>
                </c:pt>
                <c:pt idx="68">
                  <c:v>6.8500000000000002E-3</c:v>
                </c:pt>
                <c:pt idx="69">
                  <c:v>6.9499999999999996E-3</c:v>
                </c:pt>
                <c:pt idx="70">
                  <c:v>7.0499999999999998E-3</c:v>
                </c:pt>
                <c:pt idx="71">
                  <c:v>7.1500000000000001E-3</c:v>
                </c:pt>
                <c:pt idx="72">
                  <c:v>7.2500000000000004E-3</c:v>
                </c:pt>
                <c:pt idx="73">
                  <c:v>7.3499999999999998E-3</c:v>
                </c:pt>
                <c:pt idx="74">
                  <c:v>7.45E-3</c:v>
                </c:pt>
                <c:pt idx="75">
                  <c:v>7.5500000000000003E-3</c:v>
                </c:pt>
                <c:pt idx="76">
                  <c:v>7.6499999999999997E-3</c:v>
                </c:pt>
                <c:pt idx="77">
                  <c:v>7.7499999999999999E-3</c:v>
                </c:pt>
                <c:pt idx="78">
                  <c:v>7.8499999999999993E-3</c:v>
                </c:pt>
                <c:pt idx="79">
                  <c:v>7.9500000000000005E-3</c:v>
                </c:pt>
                <c:pt idx="80">
                  <c:v>8.0499999999999999E-3</c:v>
                </c:pt>
                <c:pt idx="81">
                  <c:v>8.1499999999999993E-3</c:v>
                </c:pt>
                <c:pt idx="82">
                  <c:v>8.2500000000000004E-3</c:v>
                </c:pt>
                <c:pt idx="83">
                  <c:v>8.3499999999999998E-3</c:v>
                </c:pt>
                <c:pt idx="84">
                  <c:v>8.4499999999999992E-3</c:v>
                </c:pt>
                <c:pt idx="85">
                  <c:v>8.5500000000000003E-3</c:v>
                </c:pt>
                <c:pt idx="86">
                  <c:v>8.6499999999999997E-3</c:v>
                </c:pt>
                <c:pt idx="87">
                  <c:v>8.7500000000000008E-3</c:v>
                </c:pt>
                <c:pt idx="88">
                  <c:v>8.8500000000000002E-3</c:v>
                </c:pt>
                <c:pt idx="89">
                  <c:v>8.9499999999999996E-3</c:v>
                </c:pt>
                <c:pt idx="90">
                  <c:v>9.0500000000000008E-3</c:v>
                </c:pt>
                <c:pt idx="91">
                  <c:v>9.1500000000000001E-3</c:v>
                </c:pt>
                <c:pt idx="92">
                  <c:v>9.2499999999999995E-3</c:v>
                </c:pt>
                <c:pt idx="93">
                  <c:v>9.3500000000000007E-3</c:v>
                </c:pt>
                <c:pt idx="94">
                  <c:v>9.4500000000000001E-3</c:v>
                </c:pt>
                <c:pt idx="95">
                  <c:v>9.5499999999999995E-3</c:v>
                </c:pt>
                <c:pt idx="96">
                  <c:v>9.6500000000000006E-3</c:v>
                </c:pt>
                <c:pt idx="97">
                  <c:v>9.75E-3</c:v>
                </c:pt>
                <c:pt idx="98">
                  <c:v>9.8499999999999994E-3</c:v>
                </c:pt>
                <c:pt idx="99">
                  <c:v>9.9500000000000005E-3</c:v>
                </c:pt>
                <c:pt idx="100">
                  <c:v>1.005E-2</c:v>
                </c:pt>
                <c:pt idx="101">
                  <c:v>1.0149999999999999E-2</c:v>
                </c:pt>
                <c:pt idx="102">
                  <c:v>1.025E-2</c:v>
                </c:pt>
                <c:pt idx="103">
                  <c:v>1.035E-2</c:v>
                </c:pt>
                <c:pt idx="104">
                  <c:v>1.0449999999999999E-2</c:v>
                </c:pt>
                <c:pt idx="105">
                  <c:v>1.055E-2</c:v>
                </c:pt>
                <c:pt idx="106">
                  <c:v>1.065E-2</c:v>
                </c:pt>
                <c:pt idx="107">
                  <c:v>1.0749999999999999E-2</c:v>
                </c:pt>
                <c:pt idx="108">
                  <c:v>1.085E-2</c:v>
                </c:pt>
                <c:pt idx="109">
                  <c:v>1.095E-2</c:v>
                </c:pt>
                <c:pt idx="110">
                  <c:v>1.1050000000000001E-2</c:v>
                </c:pt>
                <c:pt idx="111">
                  <c:v>1.115E-2</c:v>
                </c:pt>
                <c:pt idx="112">
                  <c:v>1.125E-2</c:v>
                </c:pt>
                <c:pt idx="113">
                  <c:v>1.1350000000000001E-2</c:v>
                </c:pt>
                <c:pt idx="114">
                  <c:v>1.145E-2</c:v>
                </c:pt>
                <c:pt idx="115">
                  <c:v>1.155E-2</c:v>
                </c:pt>
                <c:pt idx="116">
                  <c:v>1.1650000000000001E-2</c:v>
                </c:pt>
                <c:pt idx="117">
                  <c:v>1.175E-2</c:v>
                </c:pt>
                <c:pt idx="118">
                  <c:v>1.1849999999999999E-2</c:v>
                </c:pt>
                <c:pt idx="119">
                  <c:v>1.1950000000000001E-2</c:v>
                </c:pt>
                <c:pt idx="120">
                  <c:v>1.205E-2</c:v>
                </c:pt>
                <c:pt idx="121">
                  <c:v>1.2149999999999999E-2</c:v>
                </c:pt>
                <c:pt idx="122">
                  <c:v>1.225E-2</c:v>
                </c:pt>
                <c:pt idx="123">
                  <c:v>1.235E-2</c:v>
                </c:pt>
                <c:pt idx="124">
                  <c:v>1.2449999999999999E-2</c:v>
                </c:pt>
              </c:numCache>
            </c:numRef>
          </c:xVal>
          <c:yVal>
            <c:numRef>
              <c:f>Calc!$E$9:$E$133</c:f>
              <c:numCache>
                <c:formatCode>0.00</c:formatCode>
                <c:ptCount val="125"/>
                <c:pt idx="0">
                  <c:v>34.286624144378102</c:v>
                </c:pt>
                <c:pt idx="1">
                  <c:v>51.93137581588676</c:v>
                </c:pt>
                <c:pt idx="2">
                  <c:v>58.046757610005734</c:v>
                </c:pt>
                <c:pt idx="3">
                  <c:v>59.759460732363969</c:v>
                </c:pt>
                <c:pt idx="4">
                  <c:v>57.717241664419426</c:v>
                </c:pt>
                <c:pt idx="5">
                  <c:v>54.865511405558991</c:v>
                </c:pt>
                <c:pt idx="6">
                  <c:v>51.981640960128736</c:v>
                </c:pt>
                <c:pt idx="7">
                  <c:v>49.210629989505954</c:v>
                </c:pt>
                <c:pt idx="8">
                  <c:v>46.548052631933466</c:v>
                </c:pt>
                <c:pt idx="9">
                  <c:v>44.031634090007998</c:v>
                </c:pt>
                <c:pt idx="10">
                  <c:v>41.619328677036563</c:v>
                </c:pt>
                <c:pt idx="11">
                  <c:v>39.366565042644488</c:v>
                </c:pt>
                <c:pt idx="12">
                  <c:v>37.260170979221186</c:v>
                </c:pt>
                <c:pt idx="13">
                  <c:v>35.273380560901977</c:v>
                </c:pt>
                <c:pt idx="14">
                  <c:v>33.393864601363333</c:v>
                </c:pt>
                <c:pt idx="15">
                  <c:v>31.628683403884544</c:v>
                </c:pt>
                <c:pt idx="16">
                  <c:v>29.966456181090052</c:v>
                </c:pt>
                <c:pt idx="17">
                  <c:v>28.399595741396173</c:v>
                </c:pt>
                <c:pt idx="18">
                  <c:v>26.920936403862747</c:v>
                </c:pt>
                <c:pt idx="19">
                  <c:v>25.522996354566963</c:v>
                </c:pt>
                <c:pt idx="20">
                  <c:v>24.209147678657128</c:v>
                </c:pt>
                <c:pt idx="21">
                  <c:v>22.979179620811479</c:v>
                </c:pt>
                <c:pt idx="22">
                  <c:v>21.81444033505343</c:v>
                </c:pt>
                <c:pt idx="23">
                  <c:v>20.709028672373439</c:v>
                </c:pt>
                <c:pt idx="24">
                  <c:v>19.668108138154853</c:v>
                </c:pt>
                <c:pt idx="25">
                  <c:v>18.680087189700362</c:v>
                </c:pt>
                <c:pt idx="26">
                  <c:v>17.746546491923237</c:v>
                </c:pt>
                <c:pt idx="27">
                  <c:v>16.866432268214631</c:v>
                </c:pt>
                <c:pt idx="28">
                  <c:v>16.028785241842535</c:v>
                </c:pt>
                <c:pt idx="29">
                  <c:v>15.241087226729769</c:v>
                </c:pt>
                <c:pt idx="30">
                  <c:v>14.495224142988206</c:v>
                </c:pt>
                <c:pt idx="31">
                  <c:v>13.790247591669889</c:v>
                </c:pt>
                <c:pt idx="32">
                  <c:v>13.125630684470392</c:v>
                </c:pt>
                <c:pt idx="33">
                  <c:v>12.489887256353292</c:v>
                </c:pt>
                <c:pt idx="34">
                  <c:v>11.893449695746165</c:v>
                </c:pt>
                <c:pt idx="35">
                  <c:v>11.329152321708857</c:v>
                </c:pt>
                <c:pt idx="36">
                  <c:v>10.786457368152904</c:v>
                </c:pt>
                <c:pt idx="37">
                  <c:v>10.28180375017631</c:v>
                </c:pt>
                <c:pt idx="38">
                  <c:v>9.8014923718640681</c:v>
                </c:pt>
                <c:pt idx="39">
                  <c:v>9.3414135044416824</c:v>
                </c:pt>
                <c:pt idx="40">
                  <c:v>8.9091543394928419</c:v>
                </c:pt>
                <c:pt idx="41">
                  <c:v>8.4979707067209329</c:v>
                </c:pt>
                <c:pt idx="42">
                  <c:v>8.1062819412126839</c:v>
                </c:pt>
                <c:pt idx="43">
                  <c:v>7.7355633302204803</c:v>
                </c:pt>
                <c:pt idx="44">
                  <c:v>7.3815997673089369</c:v>
                </c:pt>
                <c:pt idx="45">
                  <c:v>7.0455504067477843</c:v>
                </c:pt>
                <c:pt idx="46">
                  <c:v>6.728469025145869</c:v>
                </c:pt>
                <c:pt idx="47">
                  <c:v>6.4263512713895725</c:v>
                </c:pt>
                <c:pt idx="48">
                  <c:v>6.1379326135482826</c:v>
                </c:pt>
                <c:pt idx="49">
                  <c:v>5.8618431420304962</c:v>
                </c:pt>
                <c:pt idx="50">
                  <c:v>5.6020872079498307</c:v>
                </c:pt>
                <c:pt idx="51">
                  <c:v>5.3538174389055921</c:v>
                </c:pt>
                <c:pt idx="52">
                  <c:v>5.1184037444892816</c:v>
                </c:pt>
                <c:pt idx="53">
                  <c:v>4.8932116831787811</c:v>
                </c:pt>
                <c:pt idx="54">
                  <c:v>4.6797165422264779</c:v>
                </c:pt>
                <c:pt idx="55">
                  <c:v>4.4726494385881388</c:v>
                </c:pt>
                <c:pt idx="56">
                  <c:v>4.274328680803225</c:v>
                </c:pt>
                <c:pt idx="57">
                  <c:v>4.0901285295768544</c:v>
                </c:pt>
                <c:pt idx="58">
                  <c:v>3.9139370805777176</c:v>
                </c:pt>
                <c:pt idx="59">
                  <c:v>3.7434360252663517</c:v>
                </c:pt>
                <c:pt idx="60">
                  <c:v>3.5828404700781435</c:v>
                </c:pt>
                <c:pt idx="61">
                  <c:v>3.4349956118569778</c:v>
                </c:pt>
                <c:pt idx="62">
                  <c:v>3.2869399983140424</c:v>
                </c:pt>
                <c:pt idx="63">
                  <c:v>3.1472092199809949</c:v>
                </c:pt>
                <c:pt idx="64">
                  <c:v>3.0114827927615639</c:v>
                </c:pt>
                <c:pt idx="65">
                  <c:v>2.8826059134996358</c:v>
                </c:pt>
                <c:pt idx="66">
                  <c:v>2.7602624492125551</c:v>
                </c:pt>
                <c:pt idx="67">
                  <c:v>2.6408695594302456</c:v>
                </c:pt>
                <c:pt idx="68">
                  <c:v>2.5286423505880919</c:v>
                </c:pt>
                <c:pt idx="69">
                  <c:v>2.4221055354337091</c:v>
                </c:pt>
                <c:pt idx="70">
                  <c:v>2.317465518175251</c:v>
                </c:pt>
                <c:pt idx="71">
                  <c:v>2.2205180701613716</c:v>
                </c:pt>
                <c:pt idx="72">
                  <c:v>2.1272588402784551</c:v>
                </c:pt>
                <c:pt idx="73">
                  <c:v>2.0363179189350014</c:v>
                </c:pt>
                <c:pt idx="74">
                  <c:v>1.950540502974895</c:v>
                </c:pt>
                <c:pt idx="75">
                  <c:v>1.8676082838586745</c:v>
                </c:pt>
                <c:pt idx="76">
                  <c:v>1.7872051286036854</c:v>
                </c:pt>
                <c:pt idx="77">
                  <c:v>1.7127031223582372</c:v>
                </c:pt>
                <c:pt idx="78">
                  <c:v>1.6382011161127887</c:v>
                </c:pt>
                <c:pt idx="79">
                  <c:v>1.5712863014510352</c:v>
                </c:pt>
                <c:pt idx="80">
                  <c:v>1.5038445984848583</c:v>
                </c:pt>
                <c:pt idx="81">
                  <c:v>1.4427255551717606</c:v>
                </c:pt>
                <c:pt idx="82">
                  <c:v>1.3807634905715855</c:v>
                </c:pt>
                <c:pt idx="83">
                  <c:v>1.3217520004761809</c:v>
                </c:pt>
                <c:pt idx="84">
                  <c:v>1.2645319306158154</c:v>
                </c:pt>
                <c:pt idx="85">
                  <c:v>1.2106839459037584</c:v>
                </c:pt>
                <c:pt idx="86">
                  <c:v>1.1616833335923957</c:v>
                </c:pt>
                <c:pt idx="87">
                  <c:v>1.110785923385109</c:v>
                </c:pt>
                <c:pt idx="88">
                  <c:v>1.0643143749349777</c:v>
                </c:pt>
                <c:pt idx="89">
                  <c:v>1.0177374488239619</c:v>
                </c:pt>
                <c:pt idx="90">
                  <c:v>0.9753756291483322</c:v>
                </c:pt>
                <c:pt idx="91">
                  <c:v>0.93533211801216476</c:v>
                </c:pt>
                <c:pt idx="92">
                  <c:v>0.89191652172768832</c:v>
                </c:pt>
                <c:pt idx="93">
                  <c:v>0.85545585106159905</c:v>
                </c:pt>
                <c:pt idx="94">
                  <c:v>0.81783602612577844</c:v>
                </c:pt>
                <c:pt idx="95">
                  <c:v>0.78306139803384356</c:v>
                </c:pt>
                <c:pt idx="96">
                  <c:v>0.74723299333306215</c:v>
                </c:pt>
                <c:pt idx="97">
                  <c:v>0.71614658337209003</c:v>
                </c:pt>
                <c:pt idx="98">
                  <c:v>0.68695697130704159</c:v>
                </c:pt>
                <c:pt idx="99">
                  <c:v>0.65523829538076162</c:v>
                </c:pt>
                <c:pt idx="100">
                  <c:v>0.62942076846402206</c:v>
                </c:pt>
                <c:pt idx="101">
                  <c:v>0.59959889043366565</c:v>
                </c:pt>
                <c:pt idx="102">
                  <c:v>0.57557278375196519</c:v>
                </c:pt>
                <c:pt idx="103">
                  <c:v>0.55144129940938014</c:v>
                </c:pt>
                <c:pt idx="104">
                  <c:v>0.52794208103210283</c:v>
                </c:pt>
                <c:pt idx="105">
                  <c:v>0.5049697509592489</c:v>
                </c:pt>
                <c:pt idx="106">
                  <c:v>0.48558026135647309</c:v>
                </c:pt>
                <c:pt idx="107">
                  <c:v>0.46134339935300328</c:v>
                </c:pt>
                <c:pt idx="108">
                  <c:v>0.44121626612403486</c:v>
                </c:pt>
                <c:pt idx="109">
                  <c:v>0.42203753184302834</c:v>
                </c:pt>
                <c:pt idx="110">
                  <c:v>0.40549323908413809</c:v>
                </c:pt>
                <c:pt idx="111">
                  <c:v>0.38831668035993994</c:v>
                </c:pt>
                <c:pt idx="112">
                  <c:v>0.36987558970512596</c:v>
                </c:pt>
                <c:pt idx="113">
                  <c:v>0.35322591928535108</c:v>
                </c:pt>
                <c:pt idx="114">
                  <c:v>0.33741927015265338</c:v>
                </c:pt>
                <c:pt idx="115">
                  <c:v>0.32098035505464778</c:v>
                </c:pt>
                <c:pt idx="116">
                  <c:v>0.30780814744406637</c:v>
                </c:pt>
                <c:pt idx="117">
                  <c:v>0.29252838661579189</c:v>
                </c:pt>
                <c:pt idx="118">
                  <c:v>0.27925080134432589</c:v>
                </c:pt>
                <c:pt idx="119">
                  <c:v>0.26660548203816775</c:v>
                </c:pt>
                <c:pt idx="120">
                  <c:v>0.25469780635820211</c:v>
                </c:pt>
                <c:pt idx="121">
                  <c:v>0.24289550833912121</c:v>
                </c:pt>
                <c:pt idx="122">
                  <c:v>0.23025018903296302</c:v>
                </c:pt>
                <c:pt idx="123">
                  <c:v>0.2184478910138821</c:v>
                </c:pt>
                <c:pt idx="124">
                  <c:v>0.1249779058091964</c:v>
                </c:pt>
              </c:numCache>
            </c:numRef>
          </c:yVal>
          <c:smooth val="0"/>
        </c:ser>
        <c:dLbls>
          <c:showLegendKey val="0"/>
          <c:showVal val="0"/>
          <c:showCatName val="0"/>
          <c:showSerName val="0"/>
          <c:showPercent val="0"/>
          <c:showBubbleSize val="0"/>
        </c:dLbls>
        <c:axId val="236459520"/>
        <c:axId val="236484480"/>
      </c:scatterChart>
      <c:scatterChart>
        <c:scatterStyle val="lineMarker"/>
        <c:varyColors val="0"/>
        <c:ser>
          <c:idx val="1"/>
          <c:order val="1"/>
          <c:tx>
            <c:v>Photoconductance (Siemens)</c:v>
          </c:tx>
          <c:spPr>
            <a:ln w="28575">
              <a:solidFill>
                <a:srgbClr val="FF0000"/>
              </a:solidFill>
            </a:ln>
          </c:spPr>
          <c:marker>
            <c:symbol val="none"/>
          </c:marker>
          <c:xVal>
            <c:numRef>
              <c:f>Calc!$A$9:$A$133</c:f>
              <c:numCache>
                <c:formatCode>0.00E+00</c:formatCode>
                <c:ptCount val="125"/>
                <c:pt idx="0">
                  <c:v>5.0000000000000002E-5</c:v>
                </c:pt>
                <c:pt idx="1">
                  <c:v>1.4999999999999999E-4</c:v>
                </c:pt>
                <c:pt idx="2">
                  <c:v>2.5000000000000001E-4</c:v>
                </c:pt>
                <c:pt idx="3">
                  <c:v>3.5E-4</c:v>
                </c:pt>
                <c:pt idx="4">
                  <c:v>4.4999999999999999E-4</c:v>
                </c:pt>
                <c:pt idx="5">
                  <c:v>5.5000000000000003E-4</c:v>
                </c:pt>
                <c:pt idx="6">
                  <c:v>6.4999999999999997E-4</c:v>
                </c:pt>
                <c:pt idx="7">
                  <c:v>7.5000000000000002E-4</c:v>
                </c:pt>
                <c:pt idx="8">
                  <c:v>8.4999999999999995E-4</c:v>
                </c:pt>
                <c:pt idx="9">
                  <c:v>9.5E-4</c:v>
                </c:pt>
                <c:pt idx="10">
                  <c:v>1.0499999999999999E-3</c:v>
                </c:pt>
                <c:pt idx="11">
                  <c:v>1.15E-3</c:v>
                </c:pt>
                <c:pt idx="12">
                  <c:v>1.25E-3</c:v>
                </c:pt>
                <c:pt idx="13">
                  <c:v>1.3500000000000001E-3</c:v>
                </c:pt>
                <c:pt idx="14">
                  <c:v>1.4499999999999999E-3</c:v>
                </c:pt>
                <c:pt idx="15">
                  <c:v>1.5499999999999999E-3</c:v>
                </c:pt>
                <c:pt idx="16">
                  <c:v>1.65E-3</c:v>
                </c:pt>
                <c:pt idx="17">
                  <c:v>1.75E-3</c:v>
                </c:pt>
                <c:pt idx="18">
                  <c:v>1.8500000000000001E-3</c:v>
                </c:pt>
                <c:pt idx="19">
                  <c:v>1.9499999999999999E-3</c:v>
                </c:pt>
                <c:pt idx="20">
                  <c:v>2.0500000000000002E-3</c:v>
                </c:pt>
                <c:pt idx="21">
                  <c:v>2.15E-3</c:v>
                </c:pt>
                <c:pt idx="22">
                  <c:v>2.2499999999999998E-3</c:v>
                </c:pt>
                <c:pt idx="23">
                  <c:v>2.3500000000000001E-3</c:v>
                </c:pt>
                <c:pt idx="24">
                  <c:v>2.4499999999999999E-3</c:v>
                </c:pt>
                <c:pt idx="25">
                  <c:v>2.5500000000000002E-3</c:v>
                </c:pt>
                <c:pt idx="26">
                  <c:v>2.65E-3</c:v>
                </c:pt>
                <c:pt idx="27">
                  <c:v>2.7499999999999998E-3</c:v>
                </c:pt>
                <c:pt idx="28">
                  <c:v>2.8500000000000001E-3</c:v>
                </c:pt>
                <c:pt idx="29">
                  <c:v>2.9499999999999999E-3</c:v>
                </c:pt>
                <c:pt idx="30">
                  <c:v>3.0500000000000002E-3</c:v>
                </c:pt>
                <c:pt idx="31">
                  <c:v>3.15E-3</c:v>
                </c:pt>
                <c:pt idx="32">
                  <c:v>3.2499999999999999E-3</c:v>
                </c:pt>
                <c:pt idx="33">
                  <c:v>3.3500000000000001E-3</c:v>
                </c:pt>
                <c:pt idx="34">
                  <c:v>3.4499999999999999E-3</c:v>
                </c:pt>
                <c:pt idx="35">
                  <c:v>3.5500000000000002E-3</c:v>
                </c:pt>
                <c:pt idx="36">
                  <c:v>3.65E-3</c:v>
                </c:pt>
                <c:pt idx="37">
                  <c:v>3.7499999999999999E-3</c:v>
                </c:pt>
                <c:pt idx="38">
                  <c:v>3.8500000000000001E-3</c:v>
                </c:pt>
                <c:pt idx="39">
                  <c:v>3.9500000000000004E-3</c:v>
                </c:pt>
                <c:pt idx="40">
                  <c:v>4.0499999999999998E-3</c:v>
                </c:pt>
                <c:pt idx="41">
                  <c:v>4.15E-3</c:v>
                </c:pt>
                <c:pt idx="42">
                  <c:v>4.2500000000000003E-3</c:v>
                </c:pt>
                <c:pt idx="43">
                  <c:v>4.3499999999999997E-3</c:v>
                </c:pt>
                <c:pt idx="44">
                  <c:v>4.45E-3</c:v>
                </c:pt>
                <c:pt idx="45">
                  <c:v>4.5500000000000002E-3</c:v>
                </c:pt>
                <c:pt idx="46">
                  <c:v>4.6499999999999996E-3</c:v>
                </c:pt>
                <c:pt idx="47">
                  <c:v>4.7499999999999999E-3</c:v>
                </c:pt>
                <c:pt idx="48">
                  <c:v>4.8500000000000001E-3</c:v>
                </c:pt>
                <c:pt idx="49">
                  <c:v>4.9500000000000004E-3</c:v>
                </c:pt>
                <c:pt idx="50">
                  <c:v>5.0499999999999998E-3</c:v>
                </c:pt>
                <c:pt idx="51">
                  <c:v>5.1500000000000001E-3</c:v>
                </c:pt>
                <c:pt idx="52">
                  <c:v>5.2500000000000003E-3</c:v>
                </c:pt>
                <c:pt idx="53">
                  <c:v>5.3499999999999997E-3</c:v>
                </c:pt>
                <c:pt idx="54">
                  <c:v>5.45E-3</c:v>
                </c:pt>
                <c:pt idx="55">
                  <c:v>5.5500000000000002E-3</c:v>
                </c:pt>
                <c:pt idx="56">
                  <c:v>5.6499999999999996E-3</c:v>
                </c:pt>
                <c:pt idx="57">
                  <c:v>5.7499999999999999E-3</c:v>
                </c:pt>
                <c:pt idx="58">
                  <c:v>5.8500000000000002E-3</c:v>
                </c:pt>
                <c:pt idx="59">
                  <c:v>5.9500000000000004E-3</c:v>
                </c:pt>
                <c:pt idx="60">
                  <c:v>6.0499999999999998E-3</c:v>
                </c:pt>
                <c:pt idx="61">
                  <c:v>6.1500000000000001E-3</c:v>
                </c:pt>
                <c:pt idx="62">
                  <c:v>6.2500000000000003E-3</c:v>
                </c:pt>
                <c:pt idx="63">
                  <c:v>6.3499999999999997E-3</c:v>
                </c:pt>
                <c:pt idx="64">
                  <c:v>6.45E-3</c:v>
                </c:pt>
                <c:pt idx="65">
                  <c:v>6.5500000000000003E-3</c:v>
                </c:pt>
                <c:pt idx="66">
                  <c:v>6.6499999999999997E-3</c:v>
                </c:pt>
                <c:pt idx="67">
                  <c:v>6.7499999999999999E-3</c:v>
                </c:pt>
                <c:pt idx="68">
                  <c:v>6.8500000000000002E-3</c:v>
                </c:pt>
                <c:pt idx="69">
                  <c:v>6.9499999999999996E-3</c:v>
                </c:pt>
                <c:pt idx="70">
                  <c:v>7.0499999999999998E-3</c:v>
                </c:pt>
                <c:pt idx="71">
                  <c:v>7.1500000000000001E-3</c:v>
                </c:pt>
                <c:pt idx="72">
                  <c:v>7.2500000000000004E-3</c:v>
                </c:pt>
                <c:pt idx="73">
                  <c:v>7.3499999999999998E-3</c:v>
                </c:pt>
                <c:pt idx="74">
                  <c:v>7.45E-3</c:v>
                </c:pt>
                <c:pt idx="75">
                  <c:v>7.5500000000000003E-3</c:v>
                </c:pt>
                <c:pt idx="76">
                  <c:v>7.6499999999999997E-3</c:v>
                </c:pt>
                <c:pt idx="77">
                  <c:v>7.7499999999999999E-3</c:v>
                </c:pt>
                <c:pt idx="78">
                  <c:v>7.8499999999999993E-3</c:v>
                </c:pt>
                <c:pt idx="79">
                  <c:v>7.9500000000000005E-3</c:v>
                </c:pt>
                <c:pt idx="80">
                  <c:v>8.0499999999999999E-3</c:v>
                </c:pt>
                <c:pt idx="81">
                  <c:v>8.1499999999999993E-3</c:v>
                </c:pt>
                <c:pt idx="82">
                  <c:v>8.2500000000000004E-3</c:v>
                </c:pt>
                <c:pt idx="83">
                  <c:v>8.3499999999999998E-3</c:v>
                </c:pt>
                <c:pt idx="84">
                  <c:v>8.4499999999999992E-3</c:v>
                </c:pt>
                <c:pt idx="85">
                  <c:v>8.5500000000000003E-3</c:v>
                </c:pt>
                <c:pt idx="86">
                  <c:v>8.6499999999999997E-3</c:v>
                </c:pt>
                <c:pt idx="87">
                  <c:v>8.7500000000000008E-3</c:v>
                </c:pt>
                <c:pt idx="88">
                  <c:v>8.8500000000000002E-3</c:v>
                </c:pt>
                <c:pt idx="89">
                  <c:v>8.9499999999999996E-3</c:v>
                </c:pt>
                <c:pt idx="90">
                  <c:v>9.0500000000000008E-3</c:v>
                </c:pt>
                <c:pt idx="91">
                  <c:v>9.1500000000000001E-3</c:v>
                </c:pt>
                <c:pt idx="92">
                  <c:v>9.2499999999999995E-3</c:v>
                </c:pt>
                <c:pt idx="93">
                  <c:v>9.3500000000000007E-3</c:v>
                </c:pt>
                <c:pt idx="94">
                  <c:v>9.4500000000000001E-3</c:v>
                </c:pt>
                <c:pt idx="95">
                  <c:v>9.5499999999999995E-3</c:v>
                </c:pt>
                <c:pt idx="96">
                  <c:v>9.6500000000000006E-3</c:v>
                </c:pt>
                <c:pt idx="97">
                  <c:v>9.75E-3</c:v>
                </c:pt>
                <c:pt idx="98">
                  <c:v>9.8499999999999994E-3</c:v>
                </c:pt>
                <c:pt idx="99">
                  <c:v>9.9500000000000005E-3</c:v>
                </c:pt>
                <c:pt idx="100">
                  <c:v>1.005E-2</c:v>
                </c:pt>
                <c:pt idx="101">
                  <c:v>1.0149999999999999E-2</c:v>
                </c:pt>
                <c:pt idx="102">
                  <c:v>1.025E-2</c:v>
                </c:pt>
                <c:pt idx="103">
                  <c:v>1.035E-2</c:v>
                </c:pt>
                <c:pt idx="104">
                  <c:v>1.0449999999999999E-2</c:v>
                </c:pt>
                <c:pt idx="105">
                  <c:v>1.055E-2</c:v>
                </c:pt>
                <c:pt idx="106">
                  <c:v>1.065E-2</c:v>
                </c:pt>
                <c:pt idx="107">
                  <c:v>1.0749999999999999E-2</c:v>
                </c:pt>
                <c:pt idx="108">
                  <c:v>1.085E-2</c:v>
                </c:pt>
                <c:pt idx="109">
                  <c:v>1.095E-2</c:v>
                </c:pt>
                <c:pt idx="110">
                  <c:v>1.1050000000000001E-2</c:v>
                </c:pt>
                <c:pt idx="111">
                  <c:v>1.115E-2</c:v>
                </c:pt>
                <c:pt idx="112">
                  <c:v>1.125E-2</c:v>
                </c:pt>
                <c:pt idx="113">
                  <c:v>1.1350000000000001E-2</c:v>
                </c:pt>
                <c:pt idx="114">
                  <c:v>1.145E-2</c:v>
                </c:pt>
                <c:pt idx="115">
                  <c:v>1.155E-2</c:v>
                </c:pt>
                <c:pt idx="116">
                  <c:v>1.1650000000000001E-2</c:v>
                </c:pt>
                <c:pt idx="117">
                  <c:v>1.175E-2</c:v>
                </c:pt>
                <c:pt idx="118">
                  <c:v>1.1849999999999999E-2</c:v>
                </c:pt>
                <c:pt idx="119">
                  <c:v>1.1950000000000001E-2</c:v>
                </c:pt>
                <c:pt idx="120">
                  <c:v>1.205E-2</c:v>
                </c:pt>
                <c:pt idx="121">
                  <c:v>1.2149999999999999E-2</c:v>
                </c:pt>
                <c:pt idx="122">
                  <c:v>1.225E-2</c:v>
                </c:pt>
                <c:pt idx="123">
                  <c:v>1.235E-2</c:v>
                </c:pt>
                <c:pt idx="124">
                  <c:v>1.2449999999999999E-2</c:v>
                </c:pt>
              </c:numCache>
            </c:numRef>
          </c:xVal>
          <c:yVal>
            <c:numRef>
              <c:f>Calc!$H$9:$H$133</c:f>
              <c:numCache>
                <c:formatCode>0.000E+00</c:formatCode>
                <c:ptCount val="125"/>
                <c:pt idx="0">
                  <c:v>6.0110782846943614E-3</c:v>
                </c:pt>
                <c:pt idx="1">
                  <c:v>1.056210489116053E-2</c:v>
                </c:pt>
                <c:pt idx="2">
                  <c:v>1.2341021782323939E-2</c:v>
                </c:pt>
                <c:pt idx="3">
                  <c:v>1.2712221263347284E-2</c:v>
                </c:pt>
                <c:pt idx="4">
                  <c:v>1.215357908689171E-2</c:v>
                </c:pt>
                <c:pt idx="5">
                  <c:v>1.1493507814793535E-2</c:v>
                </c:pt>
                <c:pt idx="6">
                  <c:v>1.084633092998135E-2</c:v>
                </c:pt>
                <c:pt idx="7">
                  <c:v>1.0206710446800295E-2</c:v>
                </c:pt>
                <c:pt idx="8">
                  <c:v>9.5970365457042246E-3</c:v>
                </c:pt>
                <c:pt idx="9">
                  <c:v>9.0239103869404098E-3</c:v>
                </c:pt>
                <c:pt idx="10">
                  <c:v>8.4632034313908838E-3</c:v>
                </c:pt>
                <c:pt idx="11">
                  <c:v>7.9483727956242214E-3</c:v>
                </c:pt>
                <c:pt idx="12">
                  <c:v>7.4697804646492102E-3</c:v>
                </c:pt>
                <c:pt idx="13">
                  <c:v>7.0314222173213786E-3</c:v>
                </c:pt>
                <c:pt idx="14">
                  <c:v>6.6064756478459163E-3</c:v>
                </c:pt>
                <c:pt idx="15">
                  <c:v>6.2098513161743668E-3</c:v>
                </c:pt>
                <c:pt idx="16">
                  <c:v>5.8502177706303317E-3</c:v>
                </c:pt>
                <c:pt idx="17">
                  <c:v>5.4930344404641486E-3</c:v>
                </c:pt>
                <c:pt idx="18">
                  <c:v>5.1584375702581758E-3</c:v>
                </c:pt>
                <c:pt idx="19">
                  <c:v>4.8613261298741071E-3</c:v>
                </c:pt>
                <c:pt idx="20">
                  <c:v>4.5773019525461277E-3</c:v>
                </c:pt>
                <c:pt idx="21">
                  <c:v>4.3108464365419034E-3</c:v>
                </c:pt>
                <c:pt idx="22">
                  <c:v>4.0630747468632204E-3</c:v>
                </c:pt>
                <c:pt idx="23">
                  <c:v>3.8208784567938872E-3</c:v>
                </c:pt>
                <c:pt idx="24">
                  <c:v>3.6096312136908344E-3</c:v>
                </c:pt>
                <c:pt idx="25">
                  <c:v>3.3967518725485299E-3</c:v>
                </c:pt>
                <c:pt idx="26">
                  <c:v>3.2033046071887894E-3</c:v>
                </c:pt>
                <c:pt idx="27">
                  <c:v>3.0175733449796273E-3</c:v>
                </c:pt>
                <c:pt idx="28">
                  <c:v>2.8465762773338781E-3</c:v>
                </c:pt>
                <c:pt idx="29">
                  <c:v>2.6868886637526762E-3</c:v>
                </c:pt>
                <c:pt idx="30">
                  <c:v>2.5239389275552512E-3</c:v>
                </c:pt>
                <c:pt idx="31">
                  <c:v>2.3844162833267894E-3</c:v>
                </c:pt>
                <c:pt idx="32">
                  <c:v>2.2492077271491391E-3</c:v>
                </c:pt>
                <c:pt idx="33">
                  <c:v>2.1212316547018634E-3</c:v>
                </c:pt>
                <c:pt idx="34">
                  <c:v>2.0080939873955948E-3</c:v>
                </c:pt>
                <c:pt idx="35">
                  <c:v>1.9121511674107111E-3</c:v>
                </c:pt>
                <c:pt idx="36">
                  <c:v>1.8001739909290909E-3</c:v>
                </c:pt>
                <c:pt idx="37">
                  <c:v>1.7031788526504256E-3</c:v>
                </c:pt>
                <c:pt idx="38">
                  <c:v>1.6010289903791095E-3</c:v>
                </c:pt>
                <c:pt idx="39">
                  <c:v>1.5205211198971967E-3</c:v>
                </c:pt>
                <c:pt idx="40">
                  <c:v>1.4306423007808822E-3</c:v>
                </c:pt>
                <c:pt idx="41">
                  <c:v>1.3630218745829988E-3</c:v>
                </c:pt>
                <c:pt idx="42">
                  <c:v>1.2816973402681731E-3</c:v>
                </c:pt>
                <c:pt idx="43">
                  <c:v>1.2171173531786358E-3</c:v>
                </c:pt>
                <c:pt idx="44">
                  <c:v>1.1458192265675349E-3</c:v>
                </c:pt>
                <c:pt idx="45">
                  <c:v>1.0890240568251636E-3</c:v>
                </c:pt>
                <c:pt idx="46">
                  <c:v>1.0461118071986054E-3</c:v>
                </c:pt>
                <c:pt idx="47">
                  <c:v>9.7543808829182385E-4</c:v>
                </c:pt>
                <c:pt idx="48">
                  <c:v>9.3391317318188699E-4</c:v>
                </c:pt>
                <c:pt idx="49">
                  <c:v>8.8051251111188542E-4</c:v>
                </c:pt>
                <c:pt idx="50">
                  <c:v>8.2322316704855E-4</c:v>
                </c:pt>
                <c:pt idx="51">
                  <c:v>7.9337081975646914E-4</c:v>
                </c:pt>
                <c:pt idx="52">
                  <c:v>7.3407988865982488E-4</c:v>
                </c:pt>
                <c:pt idx="53">
                  <c:v>6.9860038932644669E-4</c:v>
                </c:pt>
                <c:pt idx="54">
                  <c:v>6.7862132026307032E-4</c:v>
                </c:pt>
                <c:pt idx="55">
                  <c:v>6.2979417748763172E-4</c:v>
                </c:pt>
                <c:pt idx="56">
                  <c:v>5.9891311285725085E-4</c:v>
                </c:pt>
                <c:pt idx="57">
                  <c:v>5.638483043145133E-4</c:v>
                </c:pt>
                <c:pt idx="58">
                  <c:v>5.401283077181851E-4</c:v>
                </c:pt>
                <c:pt idx="59">
                  <c:v>5.2383384868901622E-4</c:v>
                </c:pt>
                <c:pt idx="60">
                  <c:v>4.9401500472062015E-4</c:v>
                </c:pt>
                <c:pt idx="61">
                  <c:v>4.7094398121641512E-4</c:v>
                </c:pt>
                <c:pt idx="62">
                  <c:v>4.3632316485411188E-4</c:v>
                </c:pt>
                <c:pt idx="63">
                  <c:v>4.1513843885205431E-4</c:v>
                </c:pt>
                <c:pt idx="64">
                  <c:v>3.932762500056565E-4</c:v>
                </c:pt>
                <c:pt idx="65">
                  <c:v>3.8025332373824161E-4</c:v>
                </c:pt>
                <c:pt idx="66">
                  <c:v>3.515265515427711E-4</c:v>
                </c:pt>
                <c:pt idx="67">
                  <c:v>3.3729588870227631E-4</c:v>
                </c:pt>
                <c:pt idx="68">
                  <c:v>3.2462684559458888E-4</c:v>
                </c:pt>
                <c:pt idx="69">
                  <c:v>2.9595972051518413E-4</c:v>
                </c:pt>
                <c:pt idx="70">
                  <c:v>2.8664961386294305E-4</c:v>
                </c:pt>
                <c:pt idx="71">
                  <c:v>2.7280237580978167E-4</c:v>
                </c:pt>
                <c:pt idx="72">
                  <c:v>2.6296205081164162E-4</c:v>
                </c:pt>
                <c:pt idx="73">
                  <c:v>2.4360561110736006E-4</c:v>
                </c:pt>
                <c:pt idx="74">
                  <c:v>2.4557954773609184E-4</c:v>
                </c:pt>
                <c:pt idx="75">
                  <c:v>2.2027204592004954E-4</c:v>
                </c:pt>
                <c:pt idx="76">
                  <c:v>2.2410203342334775E-4</c:v>
                </c:pt>
                <c:pt idx="77">
                  <c:v>2.1841597743845614E-4</c:v>
                </c:pt>
                <c:pt idx="78">
                  <c:v>1.9711549349328214E-4</c:v>
                </c:pt>
                <c:pt idx="79">
                  <c:v>1.7457786035576447E-4</c:v>
                </c:pt>
                <c:pt idx="80">
                  <c:v>1.6512096111606991E-4</c:v>
                </c:pt>
                <c:pt idx="81">
                  <c:v>1.6992305754666079E-4</c:v>
                </c:pt>
                <c:pt idx="82">
                  <c:v>1.6353008484285003E-4</c:v>
                </c:pt>
                <c:pt idx="83">
                  <c:v>1.5442675928465169E-4</c:v>
                </c:pt>
                <c:pt idx="84">
                  <c:v>1.4013844358444841E-4</c:v>
                </c:pt>
                <c:pt idx="85">
                  <c:v>1.3527749124252544E-4</c:v>
                </c:pt>
                <c:pt idx="86">
                  <c:v>1.2034117725040483E-4</c:v>
                </c:pt>
                <c:pt idx="87">
                  <c:v>1.2246230445394496E-4</c:v>
                </c:pt>
                <c:pt idx="88">
                  <c:v>1.259386006581785E-4</c:v>
                </c:pt>
                <c:pt idx="89">
                  <c:v>1.067895792376608E-4</c:v>
                </c:pt>
                <c:pt idx="90">
                  <c:v>1.1827897219701677E-4</c:v>
                </c:pt>
                <c:pt idx="91">
                  <c:v>1.1633460919333385E-4</c:v>
                </c:pt>
                <c:pt idx="92">
                  <c:v>1.015457222859617E-4</c:v>
                </c:pt>
                <c:pt idx="93">
                  <c:v>9.6979452482100909E-5</c:v>
                </c:pt>
                <c:pt idx="94">
                  <c:v>8.8465593956699173E-5</c:v>
                </c:pt>
                <c:pt idx="95">
                  <c:v>8.1837180077034416E-5</c:v>
                </c:pt>
                <c:pt idx="96">
                  <c:v>7.9981227750276773E-5</c:v>
                </c:pt>
                <c:pt idx="97">
                  <c:v>7.3500136601331589E-5</c:v>
                </c:pt>
                <c:pt idx="98">
                  <c:v>7.615148977601488E-5</c:v>
                </c:pt>
                <c:pt idx="99">
                  <c:v>6.7284198840469184E-5</c:v>
                </c:pt>
                <c:pt idx="100">
                  <c:v>7.2999325802972082E-5</c:v>
                </c:pt>
                <c:pt idx="101">
                  <c:v>5.9153425105557683E-5</c:v>
                </c:pt>
                <c:pt idx="102">
                  <c:v>7.618094927358543E-5</c:v>
                </c:pt>
                <c:pt idx="103">
                  <c:v>5.5176427098693748E-5</c:v>
                </c:pt>
                <c:pt idx="104">
                  <c:v>6.2600162495762834E-5</c:v>
                </c:pt>
                <c:pt idx="105">
                  <c:v>6.9405275165138752E-5</c:v>
                </c:pt>
                <c:pt idx="106">
                  <c:v>6.1097737844809097E-5</c:v>
                </c:pt>
                <c:pt idx="107">
                  <c:v>5.5176427098693748E-5</c:v>
                </c:pt>
                <c:pt idx="108">
                  <c:v>5.6001285356793717E-5</c:v>
                </c:pt>
                <c:pt idx="109">
                  <c:v>6.3189348911973919E-5</c:v>
                </c:pt>
                <c:pt idx="110">
                  <c:v>6.3690157489151855E-5</c:v>
                </c:pt>
                <c:pt idx="111">
                  <c:v>5.5971826127997754E-5</c:v>
                </c:pt>
                <c:pt idx="112">
                  <c:v>5.5883448443948269E-5</c:v>
                </c:pt>
                <c:pt idx="113">
                  <c:v>6.348394217893169E-5</c:v>
                </c:pt>
                <c:pt idx="114">
                  <c:v>4.9785396772722423E-5</c:v>
                </c:pt>
                <c:pt idx="115">
                  <c:v>3.8414195567056109E-5</c:v>
                </c:pt>
                <c:pt idx="116">
                  <c:v>4.8341899079585443E-5</c:v>
                </c:pt>
                <c:pt idx="117">
                  <c:v>5.3909681086979772E-5</c:v>
                </c:pt>
                <c:pt idx="118">
                  <c:v>5.0580793863348045E-5</c:v>
                </c:pt>
                <c:pt idx="119">
                  <c:v>5.7739380550522745E-5</c:v>
                </c:pt>
                <c:pt idx="120">
                  <c:v>4.7988389584054797E-5</c:v>
                </c:pt>
                <c:pt idx="121">
                  <c:v>4.4747888507803285E-5</c:v>
                </c:pt>
                <c:pt idx="122">
                  <c:v>4.5985170176617712E-5</c:v>
                </c:pt>
                <c:pt idx="123">
                  <c:v>3.8826621532067618E-5</c:v>
                </c:pt>
                <c:pt idx="124">
                  <c:v>2.7691147469918048E-5</c:v>
                </c:pt>
              </c:numCache>
            </c:numRef>
          </c:yVal>
          <c:smooth val="0"/>
        </c:ser>
        <c:ser>
          <c:idx val="2"/>
          <c:order val="2"/>
          <c:tx>
            <c:v>First Point Analyzed</c:v>
          </c:tx>
          <c:spPr>
            <a:ln>
              <a:noFill/>
            </a:ln>
          </c:spPr>
          <c:marker>
            <c:symbol val="diamond"/>
            <c:size val="5"/>
            <c:spPr>
              <a:solidFill>
                <a:srgbClr val="00B050"/>
              </a:solidFill>
            </c:spPr>
          </c:marker>
          <c:xVal>
            <c:numRef>
              <c:f>[0]!TimeofMaxCD</c:f>
              <c:numCache>
                <c:formatCode>0.00E+00</c:formatCode>
                <c:ptCount val="1"/>
                <c:pt idx="0">
                  <c:v>3.5E-4</c:v>
                </c:pt>
              </c:numCache>
            </c:numRef>
          </c:xVal>
          <c:yVal>
            <c:numRef>
              <c:f>[0]!FirstPoint</c:f>
              <c:numCache>
                <c:formatCode>0.00E+00</c:formatCode>
                <c:ptCount val="1"/>
                <c:pt idx="0">
                  <c:v>1.2712221263347284E-2</c:v>
                </c:pt>
              </c:numCache>
            </c:numRef>
          </c:yVal>
          <c:smooth val="0"/>
        </c:ser>
        <c:dLbls>
          <c:showLegendKey val="0"/>
          <c:showVal val="0"/>
          <c:showCatName val="0"/>
          <c:showSerName val="0"/>
          <c:showPercent val="0"/>
          <c:showBubbleSize val="0"/>
        </c:dLbls>
        <c:axId val="236931328"/>
        <c:axId val="236929408"/>
      </c:scatterChart>
      <c:valAx>
        <c:axId val="236459520"/>
        <c:scaling>
          <c:orientation val="minMax"/>
        </c:scaling>
        <c:delete val="0"/>
        <c:axPos val="b"/>
        <c:majorGridlines/>
        <c:title>
          <c:tx>
            <c:rich>
              <a:bodyPr/>
              <a:lstStyle/>
              <a:p>
                <a:pPr>
                  <a:defRPr sz="1200"/>
                </a:pPr>
                <a:r>
                  <a:rPr lang="en-US" sz="1200"/>
                  <a:t>Time (seconds)</a:t>
                </a:r>
              </a:p>
            </c:rich>
          </c:tx>
          <c:layout/>
          <c:overlay val="0"/>
        </c:title>
        <c:numFmt formatCode="0.0E+00" sourceLinked="0"/>
        <c:majorTickMark val="out"/>
        <c:minorTickMark val="none"/>
        <c:tickLblPos val="nextTo"/>
        <c:txPr>
          <a:bodyPr/>
          <a:lstStyle/>
          <a:p>
            <a:pPr>
              <a:defRPr b="1"/>
            </a:pPr>
            <a:endParaRPr lang="en-US"/>
          </a:p>
        </c:txPr>
        <c:crossAx val="236484480"/>
        <c:crosses val="autoZero"/>
        <c:crossBetween val="midCat"/>
      </c:valAx>
      <c:valAx>
        <c:axId val="236484480"/>
        <c:scaling>
          <c:orientation val="minMax"/>
          <c:min val="0"/>
        </c:scaling>
        <c:delete val="0"/>
        <c:axPos val="l"/>
        <c:majorGridlines/>
        <c:title>
          <c:tx>
            <c:rich>
              <a:bodyPr rot="-5400000" vert="horz"/>
              <a:lstStyle/>
              <a:p>
                <a:pPr>
                  <a:defRPr sz="1200">
                    <a:solidFill>
                      <a:srgbClr val="2004EC"/>
                    </a:solidFill>
                  </a:defRPr>
                </a:pPr>
                <a:r>
                  <a:rPr lang="en-US" sz="1200">
                    <a:solidFill>
                      <a:srgbClr val="2004EC"/>
                    </a:solidFill>
                  </a:rPr>
                  <a:t>Illumination (suns)</a:t>
                </a:r>
              </a:p>
            </c:rich>
          </c:tx>
          <c:layout/>
          <c:overlay val="0"/>
        </c:title>
        <c:numFmt formatCode="0" sourceLinked="0"/>
        <c:majorTickMark val="out"/>
        <c:minorTickMark val="none"/>
        <c:tickLblPos val="nextTo"/>
        <c:spPr>
          <a:ln>
            <a:solidFill>
              <a:srgbClr val="2004EC"/>
            </a:solidFill>
          </a:ln>
        </c:spPr>
        <c:txPr>
          <a:bodyPr/>
          <a:lstStyle/>
          <a:p>
            <a:pPr>
              <a:defRPr b="1">
                <a:solidFill>
                  <a:srgbClr val="2004EC"/>
                </a:solidFill>
              </a:defRPr>
            </a:pPr>
            <a:endParaRPr lang="en-US"/>
          </a:p>
        </c:txPr>
        <c:crossAx val="236459520"/>
        <c:crosses val="autoZero"/>
        <c:crossBetween val="midCat"/>
      </c:valAx>
      <c:valAx>
        <c:axId val="236929408"/>
        <c:scaling>
          <c:orientation val="minMax"/>
          <c:min val="0"/>
        </c:scaling>
        <c:delete val="0"/>
        <c:axPos val="r"/>
        <c:title>
          <c:tx>
            <c:rich>
              <a:bodyPr rot="-5400000" vert="horz"/>
              <a:lstStyle/>
              <a:p>
                <a:pPr>
                  <a:defRPr sz="1200">
                    <a:solidFill>
                      <a:srgbClr val="FF0000"/>
                    </a:solidFill>
                  </a:defRPr>
                </a:pPr>
                <a:r>
                  <a:rPr lang="en-US" sz="1200">
                    <a:solidFill>
                      <a:srgbClr val="FF0000"/>
                    </a:solidFill>
                  </a:rPr>
                  <a:t>Photoconductance (Siemens)</a:t>
                </a:r>
              </a:p>
            </c:rich>
          </c:tx>
          <c:layout>
            <c:manualLayout>
              <c:xMode val="edge"/>
              <c:yMode val="edge"/>
              <c:x val="0.95624670254514565"/>
              <c:y val="0.22911838954691294"/>
            </c:manualLayout>
          </c:layout>
          <c:overlay val="0"/>
        </c:title>
        <c:numFmt formatCode="General" sourceLinked="0"/>
        <c:majorTickMark val="out"/>
        <c:minorTickMark val="none"/>
        <c:tickLblPos val="nextTo"/>
        <c:spPr>
          <a:ln>
            <a:solidFill>
              <a:srgbClr val="FF0000"/>
            </a:solidFill>
          </a:ln>
        </c:spPr>
        <c:txPr>
          <a:bodyPr/>
          <a:lstStyle/>
          <a:p>
            <a:pPr>
              <a:defRPr b="1">
                <a:solidFill>
                  <a:srgbClr val="FF0000"/>
                </a:solidFill>
              </a:defRPr>
            </a:pPr>
            <a:endParaRPr lang="en-US"/>
          </a:p>
        </c:txPr>
        <c:crossAx val="236931328"/>
        <c:crosses val="max"/>
        <c:crossBetween val="midCat"/>
      </c:valAx>
      <c:valAx>
        <c:axId val="236931328"/>
        <c:scaling>
          <c:orientation val="minMax"/>
        </c:scaling>
        <c:delete val="1"/>
        <c:axPos val="b"/>
        <c:numFmt formatCode="0.00E+00" sourceLinked="1"/>
        <c:majorTickMark val="out"/>
        <c:minorTickMark val="none"/>
        <c:tickLblPos val="none"/>
        <c:crossAx val="236929408"/>
        <c:crosses val="autoZero"/>
        <c:crossBetween val="midCat"/>
      </c:valAx>
      <c:spPr>
        <a:ln>
          <a:solidFill>
            <a:sysClr val="windowText" lastClr="000000"/>
          </a:solidFill>
        </a:ln>
      </c:spPr>
    </c:plotArea>
    <c:legend>
      <c:legendPos val="r"/>
      <c:layout>
        <c:manualLayout>
          <c:xMode val="edge"/>
          <c:yMode val="edge"/>
          <c:x val="0.43917475730124861"/>
          <c:y val="0.12421172623002825"/>
          <c:w val="0.41499146159421246"/>
          <c:h val="0.16559176041105386"/>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0988" l="0.70000000000000062" r="0.70000000000000062" t="0.750000000000009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Inverse Lifetime (Corrected) vs. Carrier Density</a:t>
            </a:r>
          </a:p>
        </c:rich>
      </c:tx>
      <c:layout/>
      <c:overlay val="0"/>
    </c:title>
    <c:autoTitleDeleted val="0"/>
    <c:plotArea>
      <c:layout>
        <c:manualLayout>
          <c:layoutTarget val="inner"/>
          <c:xMode val="edge"/>
          <c:yMode val="edge"/>
          <c:x val="0.14785189444738289"/>
          <c:y val="0.11206623436776286"/>
          <c:w val="0.75886272733429383"/>
          <c:h val="0.74692073241282175"/>
        </c:manualLayout>
      </c:layout>
      <c:scatterChart>
        <c:scatterStyle val="lineMarker"/>
        <c:varyColors val="0"/>
        <c:ser>
          <c:idx val="0"/>
          <c:order val="0"/>
          <c:tx>
            <c:v>Minority Carrier Density</c:v>
          </c:tx>
          <c:spPr>
            <a:ln w="28575">
              <a:noFill/>
            </a:ln>
          </c:spPr>
          <c:marker>
            <c:symbol val="square"/>
            <c:size val="5"/>
            <c:spPr>
              <a:solidFill>
                <a:srgbClr val="FF0000"/>
              </a:solidFill>
              <a:ln>
                <a:noFill/>
              </a:ln>
            </c:spPr>
          </c:marker>
          <c:xVal>
            <c:numRef>
              <c:f>Calc!$O$15:$O$130</c:f>
              <c:numCache>
                <c:formatCode>0.00E+00</c:formatCode>
                <c:ptCount val="116"/>
                <c:pt idx="0">
                  <c:v>1178388243205680</c:v>
                </c:pt>
                <c:pt idx="1">
                  <c:v>1108093752644079.5</c:v>
                </c:pt>
                <c:pt idx="2">
                  <c:v>1041183839619559.1</c:v>
                </c:pt>
                <c:pt idx="3">
                  <c:v>978368144130095.25</c:v>
                </c:pt>
                <c:pt idx="4">
                  <c:v>916991698137804.12</c:v>
                </c:pt>
                <c:pt idx="5">
                  <c:v>860705038298975.37</c:v>
                </c:pt>
                <c:pt idx="6">
                  <c:v>808438784862025.5</c:v>
                </c:pt>
                <c:pt idx="7">
                  <c:v>760615872535374</c:v>
                </c:pt>
                <c:pt idx="8">
                  <c:v>714301263726414.75</c:v>
                </c:pt>
                <c:pt idx="9">
                  <c:v>671113596181405.25</c:v>
                </c:pt>
                <c:pt idx="10">
                  <c:v>631987287110962.62</c:v>
                </c:pt>
                <c:pt idx="11">
                  <c:v>593159100886864.75</c:v>
                </c:pt>
                <c:pt idx="12">
                  <c:v>556814747668234.69</c:v>
                </c:pt>
                <c:pt idx="13">
                  <c:v>524565258522314.31</c:v>
                </c:pt>
                <c:pt idx="14">
                  <c:v>493756669006744.94</c:v>
                </c:pt>
                <c:pt idx="15">
                  <c:v>464871884458455.69</c:v>
                </c:pt>
                <c:pt idx="16">
                  <c:v>438028226565760.69</c:v>
                </c:pt>
                <c:pt idx="17">
                  <c:v>411803263592072.56</c:v>
                </c:pt>
                <c:pt idx="18">
                  <c:v>388941289292236.75</c:v>
                </c:pt>
                <c:pt idx="19">
                  <c:v>365913839159867.62</c:v>
                </c:pt>
                <c:pt idx="20">
                  <c:v>344998097970817.44</c:v>
                </c:pt>
                <c:pt idx="21">
                  <c:v>324925326092641.62</c:v>
                </c:pt>
                <c:pt idx="22">
                  <c:v>306452484310061.25</c:v>
                </c:pt>
                <c:pt idx="23">
                  <c:v>289207935739265.19</c:v>
                </c:pt>
                <c:pt idx="24">
                  <c:v>271617616545011.16</c:v>
                </c:pt>
                <c:pt idx="25">
                  <c:v>256561458454549.56</c:v>
                </c:pt>
                <c:pt idx="26">
                  <c:v>241975438867448</c:v>
                </c:pt>
                <c:pt idx="27">
                  <c:v>228173813573934.72</c:v>
                </c:pt>
                <c:pt idx="28">
                  <c:v>215975818402537.47</c:v>
                </c:pt>
                <c:pt idx="29">
                  <c:v>205634178117005.5</c:v>
                </c:pt>
                <c:pt idx="30">
                  <c:v>193567083682902.25</c:v>
                </c:pt>
                <c:pt idx="31">
                  <c:v>183117022051865.12</c:v>
                </c:pt>
                <c:pt idx="32">
                  <c:v>172114120544161.41</c:v>
                </c:pt>
                <c:pt idx="33">
                  <c:v>163444171688454</c:v>
                </c:pt>
                <c:pt idx="34">
                  <c:v>153766956186726.56</c:v>
                </c:pt>
                <c:pt idx="35">
                  <c:v>146487612355281.22</c:v>
                </c:pt>
                <c:pt idx="36">
                  <c:v>137734521344444.28</c:v>
                </c:pt>
                <c:pt idx="37">
                  <c:v>130784840781234.36</c:v>
                </c:pt>
                <c:pt idx="38">
                  <c:v>123113398272654.2</c:v>
                </c:pt>
                <c:pt idx="39">
                  <c:v>117003327740808.47</c:v>
                </c:pt>
                <c:pt idx="40">
                  <c:v>112387323458776.48</c:v>
                </c:pt>
                <c:pt idx="41">
                  <c:v>104786056125410.87</c:v>
                </c:pt>
                <c:pt idx="42">
                  <c:v>100320447687320.59</c:v>
                </c:pt>
                <c:pt idx="43">
                  <c:v>94578344515022.641</c:v>
                </c:pt>
                <c:pt idx="44">
                  <c:v>88418882825678.047</c:v>
                </c:pt>
                <c:pt idx="45">
                  <c:v>85209631425607.297</c:v>
                </c:pt>
                <c:pt idx="46">
                  <c:v>78836265420938.016</c:v>
                </c:pt>
                <c:pt idx="47">
                  <c:v>75022881074222.219</c:v>
                </c:pt>
                <c:pt idx="48">
                  <c:v>72875641270129.312</c:v>
                </c:pt>
                <c:pt idx="49">
                  <c:v>67628386842523.773</c:v>
                </c:pt>
                <c:pt idx="50">
                  <c:v>64310029775413.234</c:v>
                </c:pt>
                <c:pt idx="51">
                  <c:v>60542390994009.344</c:v>
                </c:pt>
                <c:pt idx="52">
                  <c:v>57993901009145.945</c:v>
                </c:pt>
                <c:pt idx="53">
                  <c:v>56243295913538.57</c:v>
                </c:pt>
                <c:pt idx="54">
                  <c:v>53039860911835.219</c:v>
                </c:pt>
                <c:pt idx="55">
                  <c:v>50561494886832.953</c:v>
                </c:pt>
                <c:pt idx="56">
                  <c:v>46842659548503.156</c:v>
                </c:pt>
                <c:pt idx="57">
                  <c:v>44567224207270.328</c:v>
                </c:pt>
                <c:pt idx="58">
                  <c:v>42219139873242.008</c:v>
                </c:pt>
                <c:pt idx="59">
                  <c:v>40820483183495.492</c:v>
                </c:pt>
                <c:pt idx="60">
                  <c:v>37735389012294.234</c:v>
                </c:pt>
                <c:pt idx="61">
                  <c:v>36207171521484.844</c:v>
                </c:pt>
                <c:pt idx="62">
                  <c:v>34846697196519.297</c:v>
                </c:pt>
                <c:pt idx="63">
                  <c:v>31768404369229.223</c:v>
                </c:pt>
                <c:pt idx="64">
                  <c:v>30768723496900.984</c:v>
                </c:pt>
                <c:pt idx="65">
                  <c:v>29281903955985.262</c:v>
                </c:pt>
                <c:pt idx="66">
                  <c:v>28225347634209.418</c:v>
                </c:pt>
                <c:pt idx="67">
                  <c:v>26147115612399.453</c:v>
                </c:pt>
                <c:pt idx="68">
                  <c:v>26359045902355.516</c:v>
                </c:pt>
                <c:pt idx="69">
                  <c:v>23641997419668.133</c:v>
                </c:pt>
                <c:pt idx="70">
                  <c:v>24053179978308.184</c:v>
                </c:pt>
                <c:pt idx="71">
                  <c:v>23442733591886.176</c:v>
                </c:pt>
                <c:pt idx="72">
                  <c:v>21156017140745.316</c:v>
                </c:pt>
                <c:pt idx="73">
                  <c:v>18736608999881.207</c:v>
                </c:pt>
                <c:pt idx="74">
                  <c:v>17721451267114.605</c:v>
                </c:pt>
                <c:pt idx="75">
                  <c:v>18236933029368.414</c:v>
                </c:pt>
                <c:pt idx="76">
                  <c:v>17550679677190.812</c:v>
                </c:pt>
                <c:pt idx="77">
                  <c:v>16573501137025.609</c:v>
                </c:pt>
                <c:pt idx="78">
                  <c:v>15039791537631.945</c:v>
                </c:pt>
                <c:pt idx="79">
                  <c:v>14518027858406.648</c:v>
                </c:pt>
                <c:pt idx="80">
                  <c:v>12914834252620.588</c:v>
                </c:pt>
                <c:pt idx="81">
                  <c:v>13142502683457.309</c:v>
                </c:pt>
                <c:pt idx="82">
                  <c:v>13515628832713.826</c:v>
                </c:pt>
                <c:pt idx="83">
                  <c:v>11460317463466.738</c:v>
                </c:pt>
                <c:pt idx="84">
                  <c:v>12693491225094.637</c:v>
                </c:pt>
                <c:pt idx="85">
                  <c:v>12484797526643.662</c:v>
                </c:pt>
                <c:pt idx="86">
                  <c:v>10897497332527.189</c:v>
                </c:pt>
                <c:pt idx="87">
                  <c:v>10407407798907.189</c:v>
                </c:pt>
                <c:pt idx="88">
                  <c:v>9493644485421.7773</c:v>
                </c:pt>
                <c:pt idx="89">
                  <c:v>8782251956720.3486</c:v>
                </c:pt>
                <c:pt idx="90">
                  <c:v>8583064385565.6006</c:v>
                </c:pt>
                <c:pt idx="91">
                  <c:v>7887496759125.7617</c:v>
                </c:pt>
                <c:pt idx="92">
                  <c:v>8172045644842.2041</c:v>
                </c:pt>
                <c:pt idx="93">
                  <c:v>7220395884827.8486</c:v>
                </c:pt>
                <c:pt idx="94">
                  <c:v>7833748870549.1162</c:v>
                </c:pt>
                <c:pt idx="95">
                  <c:v>6347807313656.8789</c:v>
                </c:pt>
                <c:pt idx="96">
                  <c:v>8175207310848.332</c:v>
                </c:pt>
                <c:pt idx="97">
                  <c:v>5921004832731.415</c:v>
                </c:pt>
                <c:pt idx="98">
                  <c:v>6717706594563.874</c:v>
                </c:pt>
                <c:pt idx="99">
                  <c:v>7448030913128.833</c:v>
                </c:pt>
                <c:pt idx="100">
                  <c:v>6556468012947.0098</c:v>
                </c:pt>
                <c:pt idx="101">
                  <c:v>5921004832731.415</c:v>
                </c:pt>
                <c:pt idx="102">
                  <c:v>6009526442900.166</c:v>
                </c:pt>
                <c:pt idx="103">
                  <c:v>6780937593775.5723</c:v>
                </c:pt>
                <c:pt idx="104">
                  <c:v>6834684024118.4814</c:v>
                </c:pt>
                <c:pt idx="105">
                  <c:v>6006364953345.6895</c:v>
                </c:pt>
                <c:pt idx="106">
                  <c:v>5996880486226.126</c:v>
                </c:pt>
                <c:pt idx="107">
                  <c:v>6812553132020.0996</c:v>
                </c:pt>
                <c:pt idx="108">
                  <c:v>5342457853778.2002</c:v>
                </c:pt>
                <c:pt idx="109">
                  <c:v>4122163005976.998</c:v>
                </c:pt>
                <c:pt idx="110">
                  <c:v>5187547831771.0791</c:v>
                </c:pt>
                <c:pt idx="111">
                  <c:v>5785061324616.1641</c:v>
                </c:pt>
                <c:pt idx="112">
                  <c:v>5427816701624.249</c:v>
                </c:pt>
                <c:pt idx="113">
                  <c:v>6196054782584.2285</c:v>
                </c:pt>
                <c:pt idx="114">
                  <c:v>5149610777803.501</c:v>
                </c:pt>
                <c:pt idx="115">
                  <c:v>4801856178219.4492</c:v>
                </c:pt>
              </c:numCache>
            </c:numRef>
          </c:xVal>
          <c:yVal>
            <c:numRef>
              <c:f>Calc!$S$15:$S$130</c:f>
              <c:numCache>
                <c:formatCode>0</c:formatCode>
                <c:ptCount val="116"/>
                <c:pt idx="0">
                  <c:v>332441.80300641747</c:v>
                </c:pt>
                <c:pt idx="1">
                  <c:v>334697.48020332266</c:v>
                </c:pt>
                <c:pt idx="2">
                  <c:v>336942.91319911956</c:v>
                </c:pt>
                <c:pt idx="3">
                  <c:v>339193.30574705137</c:v>
                </c:pt>
                <c:pt idx="4">
                  <c:v>342067.69687949936</c:v>
                </c:pt>
                <c:pt idx="5">
                  <c:v>344702.76922410907</c:v>
                </c:pt>
                <c:pt idx="6">
                  <c:v>347340.02832619165</c:v>
                </c:pt>
                <c:pt idx="7">
                  <c:v>349486.58108021785</c:v>
                </c:pt>
                <c:pt idx="8">
                  <c:v>352309.52975669794</c:v>
                </c:pt>
                <c:pt idx="9">
                  <c:v>355157.56344009982</c:v>
                </c:pt>
                <c:pt idx="10">
                  <c:v>357321.03270243987</c:v>
                </c:pt>
                <c:pt idx="11">
                  <c:v>360798.1083333221</c:v>
                </c:pt>
                <c:pt idx="12">
                  <c:v>364329.35587003373</c:v>
                </c:pt>
                <c:pt idx="13">
                  <c:v>366631.68385067704</c:v>
                </c:pt>
                <c:pt idx="14">
                  <c:v>369445.49394640431</c:v>
                </c:pt>
                <c:pt idx="15">
                  <c:v>372462.76258653228</c:v>
                </c:pt>
                <c:pt idx="16">
                  <c:v>375242.73645596631</c:v>
                </c:pt>
                <c:pt idx="17">
                  <c:v>378907.9094503487</c:v>
                </c:pt>
                <c:pt idx="18">
                  <c:v>381008.41631391342</c:v>
                </c:pt>
                <c:pt idx="19">
                  <c:v>384634.38981069886</c:v>
                </c:pt>
                <c:pt idx="20">
                  <c:v>387563.13103378378</c:v>
                </c:pt>
                <c:pt idx="21">
                  <c:v>391085.78305920085</c:v>
                </c:pt>
                <c:pt idx="22">
                  <c:v>394066.98121556191</c:v>
                </c:pt>
                <c:pt idx="23">
                  <c:v>397036.99704734911</c:v>
                </c:pt>
                <c:pt idx="24">
                  <c:v>402055.51812574535</c:v>
                </c:pt>
                <c:pt idx="25">
                  <c:v>404940.48623142653</c:v>
                </c:pt>
                <c:pt idx="26">
                  <c:v>408637.94985109469</c:v>
                </c:pt>
                <c:pt idx="27">
                  <c:v>412343.55670686968</c:v>
                </c:pt>
                <c:pt idx="28">
                  <c:v>414818.02594361553</c:v>
                </c:pt>
                <c:pt idx="29">
                  <c:v>415002.84425611218</c:v>
                </c:pt>
                <c:pt idx="30">
                  <c:v>419771.45675104059</c:v>
                </c:pt>
                <c:pt idx="31">
                  <c:v>422970.79991578223</c:v>
                </c:pt>
                <c:pt idx="32">
                  <c:v>428978.96799455973</c:v>
                </c:pt>
                <c:pt idx="33">
                  <c:v>430511.64038043632</c:v>
                </c:pt>
                <c:pt idx="34">
                  <c:v>436419.87881993846</c:v>
                </c:pt>
                <c:pt idx="35">
                  <c:v>436960.94286799489</c:v>
                </c:pt>
                <c:pt idx="36">
                  <c:v>443305.3657638455</c:v>
                </c:pt>
                <c:pt idx="37">
                  <c:v>445511.97929630114</c:v>
                </c:pt>
                <c:pt idx="38">
                  <c:v>451570.05848512967</c:v>
                </c:pt>
                <c:pt idx="39">
                  <c:v>453530.35576696467</c:v>
                </c:pt>
                <c:pt idx="40">
                  <c:v>450889.99822208611</c:v>
                </c:pt>
                <c:pt idx="41">
                  <c:v>461900.01647738705</c:v>
                </c:pt>
                <c:pt idx="42">
                  <c:v>460845.33802212158</c:v>
                </c:pt>
                <c:pt idx="43">
                  <c:v>466789.43039247324</c:v>
                </c:pt>
                <c:pt idx="44">
                  <c:v>477221.34602012916</c:v>
                </c:pt>
                <c:pt idx="45">
                  <c:v>473233.66392480413</c:v>
                </c:pt>
                <c:pt idx="46">
                  <c:v>488933.486336665</c:v>
                </c:pt>
                <c:pt idx="47">
                  <c:v>491203.19517248665</c:v>
                </c:pt>
                <c:pt idx="48">
                  <c:v>483573.57651506289</c:v>
                </c:pt>
                <c:pt idx="49">
                  <c:v>498076.38407276041</c:v>
                </c:pt>
                <c:pt idx="50">
                  <c:v>500567.48633650731</c:v>
                </c:pt>
                <c:pt idx="51">
                  <c:v>508702.35898313735</c:v>
                </c:pt>
                <c:pt idx="52">
                  <c:v>508163.22768387408</c:v>
                </c:pt>
                <c:pt idx="53">
                  <c:v>501140.78275091597</c:v>
                </c:pt>
                <c:pt idx="54">
                  <c:v>508688.34982385492</c:v>
                </c:pt>
                <c:pt idx="55">
                  <c:v>511656.66935082705</c:v>
                </c:pt>
                <c:pt idx="56">
                  <c:v>528459.07810248423</c:v>
                </c:pt>
                <c:pt idx="57">
                  <c:v>531775.10424480296</c:v>
                </c:pt>
                <c:pt idx="58">
                  <c:v>537115.6679581994</c:v>
                </c:pt>
                <c:pt idx="59">
                  <c:v>531750.12212867779</c:v>
                </c:pt>
                <c:pt idx="60">
                  <c:v>550785.18662567495</c:v>
                </c:pt>
                <c:pt idx="61">
                  <c:v>549271.47044870304</c:v>
                </c:pt>
                <c:pt idx="62">
                  <c:v>546413.03429444274</c:v>
                </c:pt>
                <c:pt idx="63">
                  <c:v>574117.5120274548</c:v>
                </c:pt>
                <c:pt idx="64">
                  <c:v>567115.447307789</c:v>
                </c:pt>
                <c:pt idx="65">
                  <c:v>570938.44664578675</c:v>
                </c:pt>
                <c:pt idx="66">
                  <c:v>567389.57746053301</c:v>
                </c:pt>
                <c:pt idx="67">
                  <c:v>586368.12637393363</c:v>
                </c:pt>
                <c:pt idx="68">
                  <c:v>557086.07339594455</c:v>
                </c:pt>
                <c:pt idx="69">
                  <c:v>594587.87853681063</c:v>
                </c:pt>
                <c:pt idx="70">
                  <c:v>559397.29407614807</c:v>
                </c:pt>
                <c:pt idx="71">
                  <c:v>550146.04773256753</c:v>
                </c:pt>
                <c:pt idx="72">
                  <c:v>583338.99142344238</c:v>
                </c:pt>
                <c:pt idx="73">
                  <c:v>631609.6779508125</c:v>
                </c:pt>
                <c:pt idx="74">
                  <c:v>638815.7060573221</c:v>
                </c:pt>
                <c:pt idx="75">
                  <c:v>595371.23837849556</c:v>
                </c:pt>
                <c:pt idx="76">
                  <c:v>592236.3630082435</c:v>
                </c:pt>
                <c:pt idx="77">
                  <c:v>600545.68452780286</c:v>
                </c:pt>
                <c:pt idx="78">
                  <c:v>633258.20395805466</c:v>
                </c:pt>
                <c:pt idx="79">
                  <c:v>627953.52775166056</c:v>
                </c:pt>
                <c:pt idx="80">
                  <c:v>677009.45270258118</c:v>
                </c:pt>
                <c:pt idx="81">
                  <c:v>636231.00494187744</c:v>
                </c:pt>
                <c:pt idx="82">
                  <c:v>592549.90526718297</c:v>
                </c:pt>
                <c:pt idx="83">
                  <c:v>668245.98955428984</c:v>
                </c:pt>
                <c:pt idx="84">
                  <c:v>578383.70520669373</c:v>
                </c:pt>
                <c:pt idx="85">
                  <c:v>563898.74180577509</c:v>
                </c:pt>
                <c:pt idx="86">
                  <c:v>616483.99305583816</c:v>
                </c:pt>
                <c:pt idx="87">
                  <c:v>619191.68831235997</c:v>
                </c:pt>
                <c:pt idx="88">
                  <c:v>648709.91884264897</c:v>
                </c:pt>
                <c:pt idx="89">
                  <c:v>671435.67361170659</c:v>
                </c:pt>
                <c:pt idx="90">
                  <c:v>655334.36586622742</c:v>
                </c:pt>
                <c:pt idx="91">
                  <c:v>683476.52457264147</c:v>
                </c:pt>
                <c:pt idx="92">
                  <c:v>632640.13105278439</c:v>
                </c:pt>
                <c:pt idx="93">
                  <c:v>683148.77969234902</c:v>
                </c:pt>
                <c:pt idx="94">
                  <c:v>604542.57310004195</c:v>
                </c:pt>
                <c:pt idx="95">
                  <c:v>710935.81093579321</c:v>
                </c:pt>
                <c:pt idx="96">
                  <c:v>529961.23501160543</c:v>
                </c:pt>
                <c:pt idx="97">
                  <c:v>700490.26783675223</c:v>
                </c:pt>
                <c:pt idx="98">
                  <c:v>591463.93301390659</c:v>
                </c:pt>
                <c:pt idx="99">
                  <c:v>510056.56933268154</c:v>
                </c:pt>
                <c:pt idx="100">
                  <c:v>557592.4657326974</c:v>
                </c:pt>
                <c:pt idx="101">
                  <c:v>586462.50228798203</c:v>
                </c:pt>
                <c:pt idx="102">
                  <c:v>552079.88016475504</c:v>
                </c:pt>
                <c:pt idx="103">
                  <c:v>468059.53611966129</c:v>
                </c:pt>
                <c:pt idx="104">
                  <c:v>446431.73446930136</c:v>
                </c:pt>
                <c:pt idx="105">
                  <c:v>486480.55830372317</c:v>
                </c:pt>
                <c:pt idx="106">
                  <c:v>464350.74938111159</c:v>
                </c:pt>
                <c:pt idx="107">
                  <c:v>390697.77895828587</c:v>
                </c:pt>
                <c:pt idx="108">
                  <c:v>475928.19143441925</c:v>
                </c:pt>
                <c:pt idx="109">
                  <c:v>586309.04798197967</c:v>
                </c:pt>
                <c:pt idx="110">
                  <c:v>446015.52550784673</c:v>
                </c:pt>
                <c:pt idx="111">
                  <c:v>379637.59643021476</c:v>
                </c:pt>
                <c:pt idx="112">
                  <c:v>386968.83310086827</c:v>
                </c:pt>
                <c:pt idx="113">
                  <c:v>324052.68497760163</c:v>
                </c:pt>
                <c:pt idx="114">
                  <c:v>372534.13437049621</c:v>
                </c:pt>
                <c:pt idx="115">
                  <c:v>381417.89185710973</c:v>
                </c:pt>
              </c:numCache>
            </c:numRef>
          </c:yVal>
          <c:smooth val="0"/>
        </c:ser>
        <c:ser>
          <c:idx val="1"/>
          <c:order val="1"/>
          <c:tx>
            <c:v>Apprent Carrier Density</c:v>
          </c:tx>
          <c:spPr>
            <a:ln w="28575">
              <a:noFill/>
            </a:ln>
          </c:spPr>
          <c:marker>
            <c:symbol val="x"/>
            <c:size val="4"/>
            <c:spPr>
              <a:ln w="9525">
                <a:solidFill>
                  <a:srgbClr val="2004EC"/>
                </a:solidFill>
              </a:ln>
            </c:spPr>
          </c:marker>
          <c:xVal>
            <c:numRef>
              <c:f>Calc!$I$15:$I$130</c:f>
              <c:numCache>
                <c:formatCode>0.00E+00</c:formatCode>
                <c:ptCount val="116"/>
                <c:pt idx="0">
                  <c:v>1178388243205680</c:v>
                </c:pt>
                <c:pt idx="1">
                  <c:v>1108093752644079.5</c:v>
                </c:pt>
                <c:pt idx="2">
                  <c:v>1041183839619559.1</c:v>
                </c:pt>
                <c:pt idx="3">
                  <c:v>978368144130095.25</c:v>
                </c:pt>
                <c:pt idx="4">
                  <c:v>916991698137804.12</c:v>
                </c:pt>
                <c:pt idx="5">
                  <c:v>860705038298975.37</c:v>
                </c:pt>
                <c:pt idx="6">
                  <c:v>808438784862025.5</c:v>
                </c:pt>
                <c:pt idx="7">
                  <c:v>760615872535374</c:v>
                </c:pt>
                <c:pt idx="8">
                  <c:v>714301263726414.75</c:v>
                </c:pt>
                <c:pt idx="9">
                  <c:v>671113596181405.25</c:v>
                </c:pt>
                <c:pt idx="10">
                  <c:v>631987287110962.62</c:v>
                </c:pt>
                <c:pt idx="11">
                  <c:v>593159100886864.75</c:v>
                </c:pt>
                <c:pt idx="12">
                  <c:v>556814747668234.69</c:v>
                </c:pt>
                <c:pt idx="13">
                  <c:v>524565258522314.31</c:v>
                </c:pt>
                <c:pt idx="14">
                  <c:v>493756669006744.94</c:v>
                </c:pt>
                <c:pt idx="15">
                  <c:v>464871884458455.69</c:v>
                </c:pt>
                <c:pt idx="16">
                  <c:v>438028226565760.69</c:v>
                </c:pt>
                <c:pt idx="17">
                  <c:v>411803263592072.56</c:v>
                </c:pt>
                <c:pt idx="18">
                  <c:v>388941289292236.75</c:v>
                </c:pt>
                <c:pt idx="19">
                  <c:v>365913839159867.62</c:v>
                </c:pt>
                <c:pt idx="20">
                  <c:v>344998097970817.44</c:v>
                </c:pt>
                <c:pt idx="21">
                  <c:v>324925326092641.62</c:v>
                </c:pt>
                <c:pt idx="22">
                  <c:v>306452484310061.25</c:v>
                </c:pt>
                <c:pt idx="23">
                  <c:v>289207935739265.19</c:v>
                </c:pt>
                <c:pt idx="24">
                  <c:v>271617616545011.16</c:v>
                </c:pt>
                <c:pt idx="25">
                  <c:v>256561458454549.56</c:v>
                </c:pt>
                <c:pt idx="26">
                  <c:v>241975438867448</c:v>
                </c:pt>
                <c:pt idx="27">
                  <c:v>228173813573934.72</c:v>
                </c:pt>
                <c:pt idx="28">
                  <c:v>215975818402537.47</c:v>
                </c:pt>
                <c:pt idx="29">
                  <c:v>205634178117005.5</c:v>
                </c:pt>
                <c:pt idx="30">
                  <c:v>193567083682902.25</c:v>
                </c:pt>
                <c:pt idx="31">
                  <c:v>183117022051865.12</c:v>
                </c:pt>
                <c:pt idx="32">
                  <c:v>172114120544161.41</c:v>
                </c:pt>
                <c:pt idx="33">
                  <c:v>163444171688454</c:v>
                </c:pt>
                <c:pt idx="34">
                  <c:v>153766956186726.56</c:v>
                </c:pt>
                <c:pt idx="35">
                  <c:v>146487612355281.22</c:v>
                </c:pt>
                <c:pt idx="36">
                  <c:v>137734521344444.28</c:v>
                </c:pt>
                <c:pt idx="37">
                  <c:v>130784840781234.36</c:v>
                </c:pt>
                <c:pt idx="38">
                  <c:v>123113398272654.2</c:v>
                </c:pt>
                <c:pt idx="39">
                  <c:v>117003327740808.47</c:v>
                </c:pt>
                <c:pt idx="40">
                  <c:v>112387323458776.48</c:v>
                </c:pt>
                <c:pt idx="41">
                  <c:v>104786056125410.87</c:v>
                </c:pt>
                <c:pt idx="42">
                  <c:v>100320447687320.59</c:v>
                </c:pt>
                <c:pt idx="43">
                  <c:v>94578344515022.641</c:v>
                </c:pt>
                <c:pt idx="44">
                  <c:v>88418882825678.047</c:v>
                </c:pt>
                <c:pt idx="45">
                  <c:v>85209631425607.297</c:v>
                </c:pt>
                <c:pt idx="46">
                  <c:v>78836265420938.016</c:v>
                </c:pt>
                <c:pt idx="47">
                  <c:v>75022881074222.219</c:v>
                </c:pt>
                <c:pt idx="48">
                  <c:v>72875641270129.312</c:v>
                </c:pt>
                <c:pt idx="49">
                  <c:v>67628386842523.773</c:v>
                </c:pt>
                <c:pt idx="50">
                  <c:v>64310029775413.234</c:v>
                </c:pt>
                <c:pt idx="51">
                  <c:v>60542390994009.344</c:v>
                </c:pt>
                <c:pt idx="52">
                  <c:v>57993901009145.945</c:v>
                </c:pt>
                <c:pt idx="53">
                  <c:v>56243295913538.57</c:v>
                </c:pt>
                <c:pt idx="54">
                  <c:v>53039860911835.219</c:v>
                </c:pt>
                <c:pt idx="55">
                  <c:v>50561494886832.953</c:v>
                </c:pt>
                <c:pt idx="56">
                  <c:v>46842659548503.156</c:v>
                </c:pt>
                <c:pt idx="57">
                  <c:v>44567224207270.328</c:v>
                </c:pt>
                <c:pt idx="58">
                  <c:v>42219139873242.008</c:v>
                </c:pt>
                <c:pt idx="59">
                  <c:v>40820483183495.492</c:v>
                </c:pt>
                <c:pt idx="60">
                  <c:v>37735389012294.234</c:v>
                </c:pt>
                <c:pt idx="61">
                  <c:v>36207171521484.844</c:v>
                </c:pt>
                <c:pt idx="62">
                  <c:v>34846697196519.297</c:v>
                </c:pt>
                <c:pt idx="63">
                  <c:v>31768404369229.223</c:v>
                </c:pt>
                <c:pt idx="64">
                  <c:v>30768723496900.984</c:v>
                </c:pt>
                <c:pt idx="65">
                  <c:v>29281903955985.262</c:v>
                </c:pt>
                <c:pt idx="66">
                  <c:v>28225347634209.418</c:v>
                </c:pt>
                <c:pt idx="67">
                  <c:v>26147115612399.453</c:v>
                </c:pt>
                <c:pt idx="68">
                  <c:v>26359045902355.516</c:v>
                </c:pt>
                <c:pt idx="69">
                  <c:v>23641997419668.133</c:v>
                </c:pt>
                <c:pt idx="70">
                  <c:v>24053179978308.184</c:v>
                </c:pt>
                <c:pt idx="71">
                  <c:v>23442733591886.176</c:v>
                </c:pt>
                <c:pt idx="72">
                  <c:v>21156017140745.316</c:v>
                </c:pt>
                <c:pt idx="73">
                  <c:v>18736608999881.207</c:v>
                </c:pt>
                <c:pt idx="74">
                  <c:v>17721451267114.605</c:v>
                </c:pt>
                <c:pt idx="75">
                  <c:v>18236933029368.414</c:v>
                </c:pt>
                <c:pt idx="76">
                  <c:v>17550679677190.812</c:v>
                </c:pt>
                <c:pt idx="77">
                  <c:v>16573501137025.609</c:v>
                </c:pt>
                <c:pt idx="78">
                  <c:v>15039791537631.945</c:v>
                </c:pt>
                <c:pt idx="79">
                  <c:v>14518027858406.648</c:v>
                </c:pt>
                <c:pt idx="80">
                  <c:v>12914834252620.588</c:v>
                </c:pt>
                <c:pt idx="81">
                  <c:v>13142502683457.309</c:v>
                </c:pt>
                <c:pt idx="82">
                  <c:v>13515628832713.826</c:v>
                </c:pt>
                <c:pt idx="83">
                  <c:v>11460317463466.738</c:v>
                </c:pt>
                <c:pt idx="84">
                  <c:v>12693491225094.637</c:v>
                </c:pt>
                <c:pt idx="85">
                  <c:v>12484797526643.662</c:v>
                </c:pt>
                <c:pt idx="86">
                  <c:v>10897497332527.189</c:v>
                </c:pt>
                <c:pt idx="87">
                  <c:v>10407407798907.189</c:v>
                </c:pt>
                <c:pt idx="88">
                  <c:v>9493644485421.7773</c:v>
                </c:pt>
                <c:pt idx="89">
                  <c:v>8782251956720.3486</c:v>
                </c:pt>
                <c:pt idx="90">
                  <c:v>8583064385565.6006</c:v>
                </c:pt>
                <c:pt idx="91">
                  <c:v>7887496759125.7617</c:v>
                </c:pt>
                <c:pt idx="92">
                  <c:v>8172045644842.2041</c:v>
                </c:pt>
                <c:pt idx="93">
                  <c:v>7220395884827.8486</c:v>
                </c:pt>
                <c:pt idx="94">
                  <c:v>7833748870549.1162</c:v>
                </c:pt>
                <c:pt idx="95">
                  <c:v>6347807313656.8789</c:v>
                </c:pt>
                <c:pt idx="96">
                  <c:v>8175207310848.332</c:v>
                </c:pt>
                <c:pt idx="97">
                  <c:v>5921004832731.415</c:v>
                </c:pt>
                <c:pt idx="98">
                  <c:v>6717706594563.874</c:v>
                </c:pt>
                <c:pt idx="99">
                  <c:v>7448030913128.833</c:v>
                </c:pt>
                <c:pt idx="100">
                  <c:v>6556468012947.0098</c:v>
                </c:pt>
                <c:pt idx="101">
                  <c:v>5921004832731.415</c:v>
                </c:pt>
                <c:pt idx="102">
                  <c:v>6009526442900.166</c:v>
                </c:pt>
                <c:pt idx="103">
                  <c:v>6780937593775.5723</c:v>
                </c:pt>
                <c:pt idx="104">
                  <c:v>6834684024118.4814</c:v>
                </c:pt>
                <c:pt idx="105">
                  <c:v>6006364953345.6895</c:v>
                </c:pt>
                <c:pt idx="106">
                  <c:v>5996880486226.126</c:v>
                </c:pt>
                <c:pt idx="107">
                  <c:v>6812553132020.0996</c:v>
                </c:pt>
                <c:pt idx="108">
                  <c:v>5342457853778.2002</c:v>
                </c:pt>
                <c:pt idx="109">
                  <c:v>4122163005976.998</c:v>
                </c:pt>
                <c:pt idx="110">
                  <c:v>5187547831771.0791</c:v>
                </c:pt>
                <c:pt idx="111">
                  <c:v>5785061324616.1641</c:v>
                </c:pt>
                <c:pt idx="112">
                  <c:v>5427816701624.249</c:v>
                </c:pt>
                <c:pt idx="113">
                  <c:v>6196054782584.2285</c:v>
                </c:pt>
                <c:pt idx="114">
                  <c:v>5149610777803.501</c:v>
                </c:pt>
                <c:pt idx="115">
                  <c:v>4801856178219.4492</c:v>
                </c:pt>
              </c:numCache>
            </c:numRef>
          </c:xVal>
          <c:yVal>
            <c:numRef>
              <c:f>Calc!$S$15:$S$130</c:f>
              <c:numCache>
                <c:formatCode>0</c:formatCode>
                <c:ptCount val="116"/>
                <c:pt idx="0">
                  <c:v>332441.80300641747</c:v>
                </c:pt>
                <c:pt idx="1">
                  <c:v>334697.48020332266</c:v>
                </c:pt>
                <c:pt idx="2">
                  <c:v>336942.91319911956</c:v>
                </c:pt>
                <c:pt idx="3">
                  <c:v>339193.30574705137</c:v>
                </c:pt>
                <c:pt idx="4">
                  <c:v>342067.69687949936</c:v>
                </c:pt>
                <c:pt idx="5">
                  <c:v>344702.76922410907</c:v>
                </c:pt>
                <c:pt idx="6">
                  <c:v>347340.02832619165</c:v>
                </c:pt>
                <c:pt idx="7">
                  <c:v>349486.58108021785</c:v>
                </c:pt>
                <c:pt idx="8">
                  <c:v>352309.52975669794</c:v>
                </c:pt>
                <c:pt idx="9">
                  <c:v>355157.56344009982</c:v>
                </c:pt>
                <c:pt idx="10">
                  <c:v>357321.03270243987</c:v>
                </c:pt>
                <c:pt idx="11">
                  <c:v>360798.1083333221</c:v>
                </c:pt>
                <c:pt idx="12">
                  <c:v>364329.35587003373</c:v>
                </c:pt>
                <c:pt idx="13">
                  <c:v>366631.68385067704</c:v>
                </c:pt>
                <c:pt idx="14">
                  <c:v>369445.49394640431</c:v>
                </c:pt>
                <c:pt idx="15">
                  <c:v>372462.76258653228</c:v>
                </c:pt>
                <c:pt idx="16">
                  <c:v>375242.73645596631</c:v>
                </c:pt>
                <c:pt idx="17">
                  <c:v>378907.9094503487</c:v>
                </c:pt>
                <c:pt idx="18">
                  <c:v>381008.41631391342</c:v>
                </c:pt>
                <c:pt idx="19">
                  <c:v>384634.38981069886</c:v>
                </c:pt>
                <c:pt idx="20">
                  <c:v>387563.13103378378</c:v>
                </c:pt>
                <c:pt idx="21">
                  <c:v>391085.78305920085</c:v>
                </c:pt>
                <c:pt idx="22">
                  <c:v>394066.98121556191</c:v>
                </c:pt>
                <c:pt idx="23">
                  <c:v>397036.99704734911</c:v>
                </c:pt>
                <c:pt idx="24">
                  <c:v>402055.51812574535</c:v>
                </c:pt>
                <c:pt idx="25">
                  <c:v>404940.48623142653</c:v>
                </c:pt>
                <c:pt idx="26">
                  <c:v>408637.94985109469</c:v>
                </c:pt>
                <c:pt idx="27">
                  <c:v>412343.55670686968</c:v>
                </c:pt>
                <c:pt idx="28">
                  <c:v>414818.02594361553</c:v>
                </c:pt>
                <c:pt idx="29">
                  <c:v>415002.84425611218</c:v>
                </c:pt>
                <c:pt idx="30">
                  <c:v>419771.45675104059</c:v>
                </c:pt>
                <c:pt idx="31">
                  <c:v>422970.79991578223</c:v>
                </c:pt>
                <c:pt idx="32">
                  <c:v>428978.96799455973</c:v>
                </c:pt>
                <c:pt idx="33">
                  <c:v>430511.64038043632</c:v>
                </c:pt>
                <c:pt idx="34">
                  <c:v>436419.87881993846</c:v>
                </c:pt>
                <c:pt idx="35">
                  <c:v>436960.94286799489</c:v>
                </c:pt>
                <c:pt idx="36">
                  <c:v>443305.3657638455</c:v>
                </c:pt>
                <c:pt idx="37">
                  <c:v>445511.97929630114</c:v>
                </c:pt>
                <c:pt idx="38">
                  <c:v>451570.05848512967</c:v>
                </c:pt>
                <c:pt idx="39">
                  <c:v>453530.35576696467</c:v>
                </c:pt>
                <c:pt idx="40">
                  <c:v>450889.99822208611</c:v>
                </c:pt>
                <c:pt idx="41">
                  <c:v>461900.01647738705</c:v>
                </c:pt>
                <c:pt idx="42">
                  <c:v>460845.33802212158</c:v>
                </c:pt>
                <c:pt idx="43">
                  <c:v>466789.43039247324</c:v>
                </c:pt>
                <c:pt idx="44">
                  <c:v>477221.34602012916</c:v>
                </c:pt>
                <c:pt idx="45">
                  <c:v>473233.66392480413</c:v>
                </c:pt>
                <c:pt idx="46">
                  <c:v>488933.486336665</c:v>
                </c:pt>
                <c:pt idx="47">
                  <c:v>491203.19517248665</c:v>
                </c:pt>
                <c:pt idx="48">
                  <c:v>483573.57651506289</c:v>
                </c:pt>
                <c:pt idx="49">
                  <c:v>498076.38407276041</c:v>
                </c:pt>
                <c:pt idx="50">
                  <c:v>500567.48633650731</c:v>
                </c:pt>
                <c:pt idx="51">
                  <c:v>508702.35898313735</c:v>
                </c:pt>
                <c:pt idx="52">
                  <c:v>508163.22768387408</c:v>
                </c:pt>
                <c:pt idx="53">
                  <c:v>501140.78275091597</c:v>
                </c:pt>
                <c:pt idx="54">
                  <c:v>508688.34982385492</c:v>
                </c:pt>
                <c:pt idx="55">
                  <c:v>511656.66935082705</c:v>
                </c:pt>
                <c:pt idx="56">
                  <c:v>528459.07810248423</c:v>
                </c:pt>
                <c:pt idx="57">
                  <c:v>531775.10424480296</c:v>
                </c:pt>
                <c:pt idx="58">
                  <c:v>537115.6679581994</c:v>
                </c:pt>
                <c:pt idx="59">
                  <c:v>531750.12212867779</c:v>
                </c:pt>
                <c:pt idx="60">
                  <c:v>550785.18662567495</c:v>
                </c:pt>
                <c:pt idx="61">
                  <c:v>549271.47044870304</c:v>
                </c:pt>
                <c:pt idx="62">
                  <c:v>546413.03429444274</c:v>
                </c:pt>
                <c:pt idx="63">
                  <c:v>574117.5120274548</c:v>
                </c:pt>
                <c:pt idx="64">
                  <c:v>567115.447307789</c:v>
                </c:pt>
                <c:pt idx="65">
                  <c:v>570938.44664578675</c:v>
                </c:pt>
                <c:pt idx="66">
                  <c:v>567389.57746053301</c:v>
                </c:pt>
                <c:pt idx="67">
                  <c:v>586368.12637393363</c:v>
                </c:pt>
                <c:pt idx="68">
                  <c:v>557086.07339594455</c:v>
                </c:pt>
                <c:pt idx="69">
                  <c:v>594587.87853681063</c:v>
                </c:pt>
                <c:pt idx="70">
                  <c:v>559397.29407614807</c:v>
                </c:pt>
                <c:pt idx="71">
                  <c:v>550146.04773256753</c:v>
                </c:pt>
                <c:pt idx="72">
                  <c:v>583338.99142344238</c:v>
                </c:pt>
                <c:pt idx="73">
                  <c:v>631609.6779508125</c:v>
                </c:pt>
                <c:pt idx="74">
                  <c:v>638815.7060573221</c:v>
                </c:pt>
                <c:pt idx="75">
                  <c:v>595371.23837849556</c:v>
                </c:pt>
                <c:pt idx="76">
                  <c:v>592236.3630082435</c:v>
                </c:pt>
                <c:pt idx="77">
                  <c:v>600545.68452780286</c:v>
                </c:pt>
                <c:pt idx="78">
                  <c:v>633258.20395805466</c:v>
                </c:pt>
                <c:pt idx="79">
                  <c:v>627953.52775166056</c:v>
                </c:pt>
                <c:pt idx="80">
                  <c:v>677009.45270258118</c:v>
                </c:pt>
                <c:pt idx="81">
                  <c:v>636231.00494187744</c:v>
                </c:pt>
                <c:pt idx="82">
                  <c:v>592549.90526718297</c:v>
                </c:pt>
                <c:pt idx="83">
                  <c:v>668245.98955428984</c:v>
                </c:pt>
                <c:pt idx="84">
                  <c:v>578383.70520669373</c:v>
                </c:pt>
                <c:pt idx="85">
                  <c:v>563898.74180577509</c:v>
                </c:pt>
                <c:pt idx="86">
                  <c:v>616483.99305583816</c:v>
                </c:pt>
                <c:pt idx="87">
                  <c:v>619191.68831235997</c:v>
                </c:pt>
                <c:pt idx="88">
                  <c:v>648709.91884264897</c:v>
                </c:pt>
                <c:pt idx="89">
                  <c:v>671435.67361170659</c:v>
                </c:pt>
                <c:pt idx="90">
                  <c:v>655334.36586622742</c:v>
                </c:pt>
                <c:pt idx="91">
                  <c:v>683476.52457264147</c:v>
                </c:pt>
                <c:pt idx="92">
                  <c:v>632640.13105278439</c:v>
                </c:pt>
                <c:pt idx="93">
                  <c:v>683148.77969234902</c:v>
                </c:pt>
                <c:pt idx="94">
                  <c:v>604542.57310004195</c:v>
                </c:pt>
                <c:pt idx="95">
                  <c:v>710935.81093579321</c:v>
                </c:pt>
                <c:pt idx="96">
                  <c:v>529961.23501160543</c:v>
                </c:pt>
                <c:pt idx="97">
                  <c:v>700490.26783675223</c:v>
                </c:pt>
                <c:pt idx="98">
                  <c:v>591463.93301390659</c:v>
                </c:pt>
                <c:pt idx="99">
                  <c:v>510056.56933268154</c:v>
                </c:pt>
                <c:pt idx="100">
                  <c:v>557592.4657326974</c:v>
                </c:pt>
                <c:pt idx="101">
                  <c:v>586462.50228798203</c:v>
                </c:pt>
                <c:pt idx="102">
                  <c:v>552079.88016475504</c:v>
                </c:pt>
                <c:pt idx="103">
                  <c:v>468059.53611966129</c:v>
                </c:pt>
                <c:pt idx="104">
                  <c:v>446431.73446930136</c:v>
                </c:pt>
                <c:pt idx="105">
                  <c:v>486480.55830372317</c:v>
                </c:pt>
                <c:pt idx="106">
                  <c:v>464350.74938111159</c:v>
                </c:pt>
                <c:pt idx="107">
                  <c:v>390697.77895828587</c:v>
                </c:pt>
                <c:pt idx="108">
                  <c:v>475928.19143441925</c:v>
                </c:pt>
                <c:pt idx="109">
                  <c:v>586309.04798197967</c:v>
                </c:pt>
                <c:pt idx="110">
                  <c:v>446015.52550784673</c:v>
                </c:pt>
                <c:pt idx="111">
                  <c:v>379637.59643021476</c:v>
                </c:pt>
                <c:pt idx="112">
                  <c:v>386968.83310086827</c:v>
                </c:pt>
                <c:pt idx="113">
                  <c:v>324052.68497760163</c:v>
                </c:pt>
                <c:pt idx="114">
                  <c:v>372534.13437049621</c:v>
                </c:pt>
                <c:pt idx="115">
                  <c:v>381417.89185710973</c:v>
                </c:pt>
              </c:numCache>
            </c:numRef>
          </c:yVal>
          <c:smooth val="0"/>
        </c:ser>
        <c:ser>
          <c:idx val="2"/>
          <c:order val="2"/>
          <c:tx>
            <c:v>Fit</c:v>
          </c:tx>
          <c:spPr>
            <a:ln>
              <a:solidFill>
                <a:sysClr val="windowText" lastClr="000000"/>
              </a:solidFill>
            </a:ln>
          </c:spPr>
          <c:marker>
            <c:symbol val="none"/>
          </c:marker>
          <c:xVal>
            <c:numRef>
              <c:f>Calc!$I$12:$I$130</c:f>
              <c:numCache>
                <c:formatCode>0.00E+00</c:formatCode>
                <c:ptCount val="119"/>
                <c:pt idx="0">
                  <c:v>1384023143857424</c:v>
                </c:pt>
                <c:pt idx="1">
                  <c:v>1322367196618833.2</c:v>
                </c:pt>
                <c:pt idx="2">
                  <c:v>1249615288614097.2</c:v>
                </c:pt>
                <c:pt idx="3">
                  <c:v>1178388243205680</c:v>
                </c:pt>
                <c:pt idx="4">
                  <c:v>1108093752644079.5</c:v>
                </c:pt>
                <c:pt idx="5">
                  <c:v>1041183839619559.1</c:v>
                </c:pt>
                <c:pt idx="6">
                  <c:v>978368144130095.25</c:v>
                </c:pt>
                <c:pt idx="7">
                  <c:v>916991698137804.12</c:v>
                </c:pt>
                <c:pt idx="8">
                  <c:v>860705038298975.37</c:v>
                </c:pt>
                <c:pt idx="9">
                  <c:v>808438784862025.5</c:v>
                </c:pt>
                <c:pt idx="10">
                  <c:v>760615872535374</c:v>
                </c:pt>
                <c:pt idx="11">
                  <c:v>714301263726414.75</c:v>
                </c:pt>
                <c:pt idx="12">
                  <c:v>671113596181405.25</c:v>
                </c:pt>
                <c:pt idx="13">
                  <c:v>631987287110962.62</c:v>
                </c:pt>
                <c:pt idx="14">
                  <c:v>593159100886864.75</c:v>
                </c:pt>
                <c:pt idx="15">
                  <c:v>556814747668234.69</c:v>
                </c:pt>
                <c:pt idx="16">
                  <c:v>524565258522314.31</c:v>
                </c:pt>
                <c:pt idx="17">
                  <c:v>493756669006744.94</c:v>
                </c:pt>
                <c:pt idx="18">
                  <c:v>464871884458455.69</c:v>
                </c:pt>
                <c:pt idx="19">
                  <c:v>438028226565760.69</c:v>
                </c:pt>
                <c:pt idx="20">
                  <c:v>411803263592072.56</c:v>
                </c:pt>
                <c:pt idx="21">
                  <c:v>388941289292236.75</c:v>
                </c:pt>
                <c:pt idx="22">
                  <c:v>365913839159867.62</c:v>
                </c:pt>
                <c:pt idx="23">
                  <c:v>344998097970817.44</c:v>
                </c:pt>
                <c:pt idx="24">
                  <c:v>324925326092641.62</c:v>
                </c:pt>
                <c:pt idx="25">
                  <c:v>306452484310061.25</c:v>
                </c:pt>
                <c:pt idx="26">
                  <c:v>289207935739265.19</c:v>
                </c:pt>
                <c:pt idx="27">
                  <c:v>271617616545011.16</c:v>
                </c:pt>
                <c:pt idx="28">
                  <c:v>256561458454549.56</c:v>
                </c:pt>
                <c:pt idx="29">
                  <c:v>241975438867448</c:v>
                </c:pt>
                <c:pt idx="30">
                  <c:v>228173813573934.72</c:v>
                </c:pt>
                <c:pt idx="31">
                  <c:v>215975818402537.47</c:v>
                </c:pt>
                <c:pt idx="32">
                  <c:v>205634178117005.5</c:v>
                </c:pt>
                <c:pt idx="33">
                  <c:v>193567083682902.25</c:v>
                </c:pt>
                <c:pt idx="34">
                  <c:v>183117022051865.12</c:v>
                </c:pt>
                <c:pt idx="35">
                  <c:v>172114120544161.41</c:v>
                </c:pt>
                <c:pt idx="36">
                  <c:v>163444171688454</c:v>
                </c:pt>
                <c:pt idx="37">
                  <c:v>153766956186726.56</c:v>
                </c:pt>
                <c:pt idx="38">
                  <c:v>146487612355281.22</c:v>
                </c:pt>
                <c:pt idx="39">
                  <c:v>137734521344444.28</c:v>
                </c:pt>
                <c:pt idx="40">
                  <c:v>130784840781234.36</c:v>
                </c:pt>
                <c:pt idx="41">
                  <c:v>123113398272654.2</c:v>
                </c:pt>
                <c:pt idx="42">
                  <c:v>117003327740808.47</c:v>
                </c:pt>
                <c:pt idx="43">
                  <c:v>112387323458776.48</c:v>
                </c:pt>
                <c:pt idx="44">
                  <c:v>104786056125410.87</c:v>
                </c:pt>
                <c:pt idx="45">
                  <c:v>100320447687320.59</c:v>
                </c:pt>
                <c:pt idx="46">
                  <c:v>94578344515022.641</c:v>
                </c:pt>
                <c:pt idx="47">
                  <c:v>88418882825678.047</c:v>
                </c:pt>
                <c:pt idx="48">
                  <c:v>85209631425607.297</c:v>
                </c:pt>
                <c:pt idx="49">
                  <c:v>78836265420938.016</c:v>
                </c:pt>
                <c:pt idx="50">
                  <c:v>75022881074222.219</c:v>
                </c:pt>
                <c:pt idx="51">
                  <c:v>72875641270129.312</c:v>
                </c:pt>
                <c:pt idx="52">
                  <c:v>67628386842523.773</c:v>
                </c:pt>
                <c:pt idx="53">
                  <c:v>64310029775413.234</c:v>
                </c:pt>
                <c:pt idx="54">
                  <c:v>60542390994009.344</c:v>
                </c:pt>
                <c:pt idx="55">
                  <c:v>57993901009145.945</c:v>
                </c:pt>
                <c:pt idx="56">
                  <c:v>56243295913538.57</c:v>
                </c:pt>
                <c:pt idx="57">
                  <c:v>53039860911835.219</c:v>
                </c:pt>
                <c:pt idx="58">
                  <c:v>50561494886832.953</c:v>
                </c:pt>
                <c:pt idx="59">
                  <c:v>46842659548503.156</c:v>
                </c:pt>
                <c:pt idx="60">
                  <c:v>44567224207270.328</c:v>
                </c:pt>
                <c:pt idx="61">
                  <c:v>42219139873242.008</c:v>
                </c:pt>
                <c:pt idx="62">
                  <c:v>40820483183495.492</c:v>
                </c:pt>
                <c:pt idx="63">
                  <c:v>37735389012294.234</c:v>
                </c:pt>
                <c:pt idx="64">
                  <c:v>36207171521484.844</c:v>
                </c:pt>
                <c:pt idx="65">
                  <c:v>34846697196519.297</c:v>
                </c:pt>
                <c:pt idx="66">
                  <c:v>31768404369229.223</c:v>
                </c:pt>
                <c:pt idx="67">
                  <c:v>30768723496900.984</c:v>
                </c:pt>
                <c:pt idx="68">
                  <c:v>29281903955985.262</c:v>
                </c:pt>
                <c:pt idx="69">
                  <c:v>28225347634209.418</c:v>
                </c:pt>
                <c:pt idx="70">
                  <c:v>26147115612399.453</c:v>
                </c:pt>
                <c:pt idx="71">
                  <c:v>26359045902355.516</c:v>
                </c:pt>
                <c:pt idx="72">
                  <c:v>23641997419668.133</c:v>
                </c:pt>
                <c:pt idx="73">
                  <c:v>24053179978308.184</c:v>
                </c:pt>
                <c:pt idx="74">
                  <c:v>23442733591886.176</c:v>
                </c:pt>
                <c:pt idx="75">
                  <c:v>21156017140745.316</c:v>
                </c:pt>
                <c:pt idx="76">
                  <c:v>18736608999881.207</c:v>
                </c:pt>
                <c:pt idx="77">
                  <c:v>17721451267114.605</c:v>
                </c:pt>
                <c:pt idx="78">
                  <c:v>18236933029368.414</c:v>
                </c:pt>
                <c:pt idx="79">
                  <c:v>17550679677190.812</c:v>
                </c:pt>
                <c:pt idx="80">
                  <c:v>16573501137025.609</c:v>
                </c:pt>
                <c:pt idx="81">
                  <c:v>15039791537631.945</c:v>
                </c:pt>
                <c:pt idx="82">
                  <c:v>14518027858406.648</c:v>
                </c:pt>
                <c:pt idx="83">
                  <c:v>12914834252620.588</c:v>
                </c:pt>
                <c:pt idx="84">
                  <c:v>13142502683457.309</c:v>
                </c:pt>
                <c:pt idx="85">
                  <c:v>13515628832713.826</c:v>
                </c:pt>
                <c:pt idx="86">
                  <c:v>11460317463466.738</c:v>
                </c:pt>
                <c:pt idx="87">
                  <c:v>12693491225094.637</c:v>
                </c:pt>
                <c:pt idx="88">
                  <c:v>12484797526643.662</c:v>
                </c:pt>
                <c:pt idx="89">
                  <c:v>10897497332527.189</c:v>
                </c:pt>
                <c:pt idx="90">
                  <c:v>10407407798907.189</c:v>
                </c:pt>
                <c:pt idx="91">
                  <c:v>9493644485421.7773</c:v>
                </c:pt>
                <c:pt idx="92">
                  <c:v>8782251956720.3486</c:v>
                </c:pt>
                <c:pt idx="93">
                  <c:v>8583064385565.6006</c:v>
                </c:pt>
                <c:pt idx="94">
                  <c:v>7887496759125.7617</c:v>
                </c:pt>
                <c:pt idx="95">
                  <c:v>8172045644842.2041</c:v>
                </c:pt>
                <c:pt idx="96">
                  <c:v>7220395884827.8486</c:v>
                </c:pt>
                <c:pt idx="97">
                  <c:v>7833748870549.1162</c:v>
                </c:pt>
                <c:pt idx="98">
                  <c:v>6347807313656.8789</c:v>
                </c:pt>
                <c:pt idx="99">
                  <c:v>8175207310848.332</c:v>
                </c:pt>
                <c:pt idx="100">
                  <c:v>5921004832731.415</c:v>
                </c:pt>
                <c:pt idx="101">
                  <c:v>6717706594563.874</c:v>
                </c:pt>
                <c:pt idx="102">
                  <c:v>7448030913128.833</c:v>
                </c:pt>
                <c:pt idx="103">
                  <c:v>6556468012947.0098</c:v>
                </c:pt>
                <c:pt idx="104">
                  <c:v>5921004832731.415</c:v>
                </c:pt>
                <c:pt idx="105">
                  <c:v>6009526442900.166</c:v>
                </c:pt>
                <c:pt idx="106">
                  <c:v>6780937593775.5723</c:v>
                </c:pt>
                <c:pt idx="107">
                  <c:v>6834684024118.4814</c:v>
                </c:pt>
                <c:pt idx="108">
                  <c:v>6006364953345.6895</c:v>
                </c:pt>
                <c:pt idx="109">
                  <c:v>5996880486226.126</c:v>
                </c:pt>
                <c:pt idx="110">
                  <c:v>6812553132020.0996</c:v>
                </c:pt>
                <c:pt idx="111">
                  <c:v>5342457853778.2002</c:v>
                </c:pt>
                <c:pt idx="112">
                  <c:v>4122163005976.998</c:v>
                </c:pt>
                <c:pt idx="113">
                  <c:v>5187547831771.0791</c:v>
                </c:pt>
                <c:pt idx="114">
                  <c:v>5785061324616.1641</c:v>
                </c:pt>
                <c:pt idx="115">
                  <c:v>5427816701624.249</c:v>
                </c:pt>
                <c:pt idx="116">
                  <c:v>6196054782584.2285</c:v>
                </c:pt>
                <c:pt idx="117">
                  <c:v>5149610777803.501</c:v>
                </c:pt>
                <c:pt idx="118">
                  <c:v>4801856178219.4492</c:v>
                </c:pt>
              </c:numCache>
            </c:numRef>
          </c:xVal>
          <c:yVal>
            <c:numRef>
              <c:f>Calc!$U$12:$U$130</c:f>
              <c:numCache>
                <c:formatCode>0</c:formatCode>
                <c:ptCount val="119"/>
                <c:pt idx="0">
                  <c:v>323904.83196776541</c:v>
                </c:pt>
                <c:pt idx="1">
                  <c:v>326400.8453403521</c:v>
                </c:pt>
                <c:pt idx="2">
                  <c:v>329346.05571167794</c:v>
                </c:pt>
                <c:pt idx="3">
                  <c:v>332229.53517783998</c:v>
                </c:pt>
                <c:pt idx="4">
                  <c:v>335075.2620917735</c:v>
                </c:pt>
                <c:pt idx="5">
                  <c:v>337783.97139148699</c:v>
                </c:pt>
                <c:pt idx="6">
                  <c:v>340326.93477088824</c:v>
                </c:pt>
                <c:pt idx="7">
                  <c:v>342811.63311419287</c:v>
                </c:pt>
                <c:pt idx="8">
                  <c:v>345090.28200287651</c:v>
                </c:pt>
                <c:pt idx="9">
                  <c:v>347206.17306215747</c:v>
                </c:pt>
                <c:pt idx="10">
                  <c:v>349142.18465600169</c:v>
                </c:pt>
                <c:pt idx="11">
                  <c:v>351017.13570469676</c:v>
                </c:pt>
                <c:pt idx="12">
                  <c:v>352765.49901028397</c:v>
                </c:pt>
                <c:pt idx="13">
                  <c:v>354349.44662659202</c:v>
                </c:pt>
                <c:pt idx="14">
                  <c:v>355921.32535669405</c:v>
                </c:pt>
                <c:pt idx="15">
                  <c:v>357392.65125005308</c:v>
                </c:pt>
                <c:pt idx="16">
                  <c:v>358698.20504936157</c:v>
                </c:pt>
                <c:pt idx="17">
                  <c:v>359945.42701034801</c:v>
                </c:pt>
                <c:pt idx="18">
                  <c:v>361114.76771024551</c:v>
                </c:pt>
                <c:pt idx="19">
                  <c:v>362201.47762340325</c:v>
                </c:pt>
                <c:pt idx="20">
                  <c:v>363263.14095369988</c:v>
                </c:pt>
                <c:pt idx="21">
                  <c:v>364188.66065020708</c:v>
                </c:pt>
                <c:pt idx="22">
                  <c:v>365120.87929319614</c:v>
                </c:pt>
                <c:pt idx="23">
                  <c:v>365967.60977165931</c:v>
                </c:pt>
                <c:pt idx="24">
                  <c:v>366780.21438284026</c:v>
                </c:pt>
                <c:pt idx="25">
                  <c:v>367528.04913656763</c:v>
                </c:pt>
                <c:pt idx="26">
                  <c:v>368226.15898265212</c:v>
                </c:pt>
                <c:pt idx="27">
                  <c:v>368938.26663655002</c:v>
                </c:pt>
                <c:pt idx="28">
                  <c:v>369547.78402484261</c:v>
                </c:pt>
                <c:pt idx="29">
                  <c:v>370138.26882919302</c:v>
                </c:pt>
                <c:pt idx="30">
                  <c:v>370696.99905456335</c:v>
                </c:pt>
                <c:pt idx="31">
                  <c:v>371190.80963456689</c:v>
                </c:pt>
                <c:pt idx="32">
                  <c:v>371609.46953037998</c:v>
                </c:pt>
                <c:pt idx="33">
                  <c:v>372097.98086504871</c:v>
                </c:pt>
                <c:pt idx="34">
                  <c:v>372521.02997456101</c:v>
                </c:pt>
                <c:pt idx="35">
                  <c:v>372966.4596618904</c:v>
                </c:pt>
                <c:pt idx="36">
                  <c:v>373317.44459120708</c:v>
                </c:pt>
                <c:pt idx="37">
                  <c:v>373709.20662526105</c:v>
                </c:pt>
                <c:pt idx="38">
                  <c:v>374003.89578925417</c:v>
                </c:pt>
                <c:pt idx="39">
                  <c:v>374358.24655658519</c:v>
                </c:pt>
                <c:pt idx="40">
                  <c:v>374639.5899856927</c:v>
                </c:pt>
                <c:pt idx="41">
                  <c:v>374950.15245283558</c:v>
                </c:pt>
                <c:pt idx="42">
                  <c:v>375197.50600813684</c:v>
                </c:pt>
                <c:pt idx="43">
                  <c:v>375384.3753846024</c:v>
                </c:pt>
                <c:pt idx="44">
                  <c:v>375692.09695506614</c:v>
                </c:pt>
                <c:pt idx="45">
                  <c:v>375872.87786716659</c:v>
                </c:pt>
                <c:pt idx="46">
                  <c:v>376105.33502574963</c:v>
                </c:pt>
                <c:pt idx="47">
                  <c:v>376354.68807980366</c:v>
                </c:pt>
                <c:pt idx="48">
                  <c:v>376484.60797835898</c:v>
                </c:pt>
                <c:pt idx="49">
                  <c:v>376742.6205057553</c:v>
                </c:pt>
                <c:pt idx="50">
                  <c:v>376896.99747586955</c:v>
                </c:pt>
                <c:pt idx="51">
                  <c:v>376983.92403373145</c:v>
                </c:pt>
                <c:pt idx="52">
                  <c:v>377196.34826541157</c:v>
                </c:pt>
                <c:pt idx="53">
                  <c:v>377330.68508100655</c:v>
                </c:pt>
                <c:pt idx="54">
                  <c:v>377483.21013661992</c:v>
                </c:pt>
                <c:pt idx="55">
                  <c:v>377586.38047730917</c:v>
                </c:pt>
                <c:pt idx="56">
                  <c:v>377657.25010018342</c:v>
                </c:pt>
                <c:pt idx="57">
                  <c:v>377786.93453389296</c:v>
                </c:pt>
                <c:pt idx="58">
                  <c:v>377887.26605125063</c:v>
                </c:pt>
                <c:pt idx="59">
                  <c:v>378037.81540051289</c:v>
                </c:pt>
                <c:pt idx="60">
                  <c:v>378129.93168928218</c:v>
                </c:pt>
                <c:pt idx="61">
                  <c:v>378224.98902211362</c:v>
                </c:pt>
                <c:pt idx="62">
                  <c:v>378281.61074244423</c:v>
                </c:pt>
                <c:pt idx="63">
                  <c:v>378406.50439264165</c:v>
                </c:pt>
                <c:pt idx="64">
                  <c:v>378468.37111376302</c:v>
                </c:pt>
                <c:pt idx="65">
                  <c:v>378523.44710010762</c:v>
                </c:pt>
                <c:pt idx="66">
                  <c:v>378648.06541197817</c:v>
                </c:pt>
                <c:pt idx="67">
                  <c:v>378688.53542237298</c:v>
                </c:pt>
                <c:pt idx="68">
                  <c:v>378748.72623320244</c:v>
                </c:pt>
                <c:pt idx="69">
                  <c:v>378791.4987284143</c:v>
                </c:pt>
                <c:pt idx="70">
                  <c:v>378875.63164908293</c:v>
                </c:pt>
                <c:pt idx="71">
                  <c:v>378867.05209007073</c:v>
                </c:pt>
                <c:pt idx="72">
                  <c:v>378977.04617256392</c:v>
                </c:pt>
                <c:pt idx="73">
                  <c:v>378960.40029798233</c:v>
                </c:pt>
                <c:pt idx="74">
                  <c:v>378985.11295607936</c:v>
                </c:pt>
                <c:pt idx="75">
                  <c:v>379077.6859372271</c:v>
                </c:pt>
                <c:pt idx="76">
                  <c:v>379175.63066671073</c:v>
                </c:pt>
                <c:pt idx="77">
                  <c:v>379216.72722575744</c:v>
                </c:pt>
                <c:pt idx="78">
                  <c:v>379195.8590138568</c:v>
                </c:pt>
                <c:pt idx="79">
                  <c:v>379223.64056001307</c:v>
                </c:pt>
                <c:pt idx="80">
                  <c:v>379263.19961007871</c:v>
                </c:pt>
                <c:pt idx="81">
                  <c:v>379325.28866784531</c:v>
                </c:pt>
                <c:pt idx="82">
                  <c:v>379346.41119014856</c:v>
                </c:pt>
                <c:pt idx="83">
                  <c:v>379411.31316405552</c:v>
                </c:pt>
                <c:pt idx="84">
                  <c:v>379402.09647899371</c:v>
                </c:pt>
                <c:pt idx="85">
                  <c:v>379386.99123935477</c:v>
                </c:pt>
                <c:pt idx="86">
                  <c:v>379470.19626485894</c:v>
                </c:pt>
                <c:pt idx="87">
                  <c:v>379420.27377826028</c:v>
                </c:pt>
                <c:pt idx="88">
                  <c:v>379428.7223105664</c:v>
                </c:pt>
                <c:pt idx="89">
                  <c:v>379492.98087260732</c:v>
                </c:pt>
                <c:pt idx="90">
                  <c:v>379512.82113270334</c:v>
                </c:pt>
                <c:pt idx="91">
                  <c:v>379549.81294861063</c:v>
                </c:pt>
                <c:pt idx="92">
                  <c:v>379578.61220228078</c:v>
                </c:pt>
                <c:pt idx="93">
                  <c:v>379586.67589870456</c:v>
                </c:pt>
                <c:pt idx="94">
                  <c:v>379614.83451397024</c:v>
                </c:pt>
                <c:pt idx="95">
                  <c:v>379603.31514145696</c:v>
                </c:pt>
                <c:pt idx="96">
                  <c:v>379641.84071171255</c:v>
                </c:pt>
                <c:pt idx="97">
                  <c:v>379617.01038596063</c:v>
                </c:pt>
                <c:pt idx="98">
                  <c:v>379677.16565342463</c:v>
                </c:pt>
                <c:pt idx="99">
                  <c:v>379603.18714795454</c:v>
                </c:pt>
                <c:pt idx="100">
                  <c:v>379694.44386822073</c:v>
                </c:pt>
                <c:pt idx="101">
                  <c:v>379662.19104686996</c:v>
                </c:pt>
                <c:pt idx="102">
                  <c:v>379632.62537888321</c:v>
                </c:pt>
                <c:pt idx="103">
                  <c:v>379668.71845702123</c:v>
                </c:pt>
                <c:pt idx="104">
                  <c:v>379694.44386822073</c:v>
                </c:pt>
                <c:pt idx="105">
                  <c:v>379690.86025410658</c:v>
                </c:pt>
                <c:pt idx="106">
                  <c:v>379659.63127077918</c:v>
                </c:pt>
                <c:pt idx="107">
                  <c:v>379657.45545782242</c:v>
                </c:pt>
                <c:pt idx="108">
                  <c:v>379690.9882404657</c:v>
                </c:pt>
                <c:pt idx="109">
                  <c:v>379691.37219948054</c:v>
                </c:pt>
                <c:pt idx="110">
                  <c:v>379658.35138116963</c:v>
                </c:pt>
                <c:pt idx="111">
                  <c:v>379717.86514485034</c:v>
                </c:pt>
                <c:pt idx="112">
                  <c:v>379767.26625528699</c:v>
                </c:pt>
                <c:pt idx="113">
                  <c:v>379724.13635636837</c:v>
                </c:pt>
                <c:pt idx="114">
                  <c:v>379699.94725969178</c:v>
                </c:pt>
                <c:pt idx="115">
                  <c:v>379714.40956862073</c:v>
                </c:pt>
                <c:pt idx="116">
                  <c:v>379683.3090404594</c:v>
                </c:pt>
                <c:pt idx="117">
                  <c:v>379725.67215945403</c:v>
                </c:pt>
                <c:pt idx="118">
                  <c:v>379739.75028443331</c:v>
                </c:pt>
              </c:numCache>
            </c:numRef>
          </c:yVal>
          <c:smooth val="0"/>
        </c:ser>
        <c:ser>
          <c:idx val="3"/>
          <c:order val="3"/>
          <c:tx>
            <c:v>Specified MCD</c:v>
          </c:tx>
          <c:spPr>
            <a:ln w="28575">
              <a:noFill/>
            </a:ln>
          </c:spPr>
          <c:marker>
            <c:symbol val="diamond"/>
            <c:size val="15"/>
            <c:spPr>
              <a:solidFill>
                <a:srgbClr val="FF0000"/>
              </a:solidFill>
              <a:ln>
                <a:noFill/>
              </a:ln>
            </c:spPr>
          </c:marker>
          <c:xVal>
            <c:numRef>
              <c:f>Calc!$O$6</c:f>
              <c:numCache>
                <c:formatCode>0.00E+00</c:formatCode>
                <c:ptCount val="1"/>
                <c:pt idx="0">
                  <c:v>1000000000000000</c:v>
                </c:pt>
              </c:numCache>
            </c:numRef>
          </c:xVal>
          <c:yVal>
            <c:numRef>
              <c:f>Calc!$X$6</c:f>
              <c:numCache>
                <c:formatCode>0.00E+00</c:formatCode>
                <c:ptCount val="1"/>
                <c:pt idx="0">
                  <c:v>339451.21387220168</c:v>
                </c:pt>
              </c:numCache>
            </c:numRef>
          </c:yVal>
          <c:smooth val="0"/>
        </c:ser>
        <c:dLbls>
          <c:showLegendKey val="0"/>
          <c:showVal val="0"/>
          <c:showCatName val="0"/>
          <c:showSerName val="0"/>
          <c:showPercent val="0"/>
          <c:showBubbleSize val="0"/>
        </c:dLbls>
        <c:axId val="246098944"/>
        <c:axId val="246101888"/>
      </c:scatterChart>
      <c:valAx>
        <c:axId val="246098944"/>
        <c:scaling>
          <c:orientation val="minMax"/>
          <c:min val="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246101888"/>
        <c:crosses val="autoZero"/>
        <c:crossBetween val="midCat"/>
      </c:valAx>
      <c:valAx>
        <c:axId val="246101888"/>
        <c:scaling>
          <c:orientation val="minMax"/>
          <c:max val="1223496.6721878056"/>
          <c:min val="0"/>
        </c:scaling>
        <c:delete val="0"/>
        <c:axPos val="l"/>
        <c:majorGridlines/>
        <c:title>
          <c:tx>
            <c:rich>
              <a:bodyPr rot="-5400000" vert="horz"/>
              <a:lstStyle/>
              <a:p>
                <a:pPr>
                  <a:defRPr sz="1200"/>
                </a:pPr>
                <a:r>
                  <a:rPr lang="en-US" sz="1200"/>
                  <a:t>Inverse Lifetime - Correction Term (s-1)</a:t>
                </a:r>
              </a:p>
            </c:rich>
          </c:tx>
          <c:layout/>
          <c:overlay val="0"/>
        </c:title>
        <c:numFmt formatCode="0" sourceLinked="0"/>
        <c:majorTickMark val="out"/>
        <c:minorTickMark val="none"/>
        <c:tickLblPos val="nextTo"/>
        <c:spPr>
          <a:ln>
            <a:solidFill>
              <a:schemeClr val="tx1"/>
            </a:solidFill>
          </a:ln>
        </c:spPr>
        <c:txPr>
          <a:bodyPr/>
          <a:lstStyle/>
          <a:p>
            <a:pPr>
              <a:defRPr b="1"/>
            </a:pPr>
            <a:endParaRPr lang="en-US"/>
          </a:p>
        </c:txPr>
        <c:crossAx val="246098944"/>
        <c:crosses val="autoZero"/>
        <c:crossBetween val="midCat"/>
      </c:valAx>
      <c:spPr>
        <a:ln>
          <a:solidFill>
            <a:sysClr val="windowText" lastClr="000000"/>
          </a:solidFill>
        </a:ln>
      </c:spPr>
    </c:plotArea>
    <c:legend>
      <c:legendPos val="r"/>
      <c:layout>
        <c:manualLayout>
          <c:xMode val="edge"/>
          <c:yMode val="edge"/>
          <c:x val="0.57877271402685992"/>
          <c:y val="0.1115347546143608"/>
          <c:w val="0.32661361475316442"/>
          <c:h val="0.21144203458875244"/>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Implied Voc</a:t>
            </a:r>
          </a:p>
        </c:rich>
      </c:tx>
      <c:layout/>
      <c:overlay val="0"/>
    </c:title>
    <c:autoTitleDeleted val="0"/>
    <c:plotArea>
      <c:layout>
        <c:manualLayout>
          <c:layoutTarget val="inner"/>
          <c:xMode val="edge"/>
          <c:yMode val="edge"/>
          <c:x val="0.14277989739770244"/>
          <c:y val="0.11914712828758829"/>
          <c:w val="0.78211048011508755"/>
          <c:h val="0.74692073241282175"/>
        </c:manualLayout>
      </c:layout>
      <c:scatterChart>
        <c:scatterStyle val="lineMarker"/>
        <c:varyColors val="0"/>
        <c:ser>
          <c:idx val="0"/>
          <c:order val="0"/>
          <c:tx>
            <c:v>Implied Voc</c:v>
          </c:tx>
          <c:spPr>
            <a:ln w="28575">
              <a:noFill/>
            </a:ln>
          </c:spPr>
          <c:marker>
            <c:symbol val="diamond"/>
            <c:size val="4"/>
            <c:spPr>
              <a:solidFill>
                <a:srgbClr val="2004EC"/>
              </a:solidFill>
              <a:ln>
                <a:solidFill>
                  <a:srgbClr val="2004EC"/>
                </a:solidFill>
              </a:ln>
            </c:spPr>
          </c:marker>
          <c:xVal>
            <c:numRef>
              <c:f>Calc!$X$15:$X$130</c:f>
              <c:numCache>
                <c:formatCode>0.0000</c:formatCode>
                <c:ptCount val="116"/>
                <c:pt idx="0">
                  <c:v>0.65352420313749271</c:v>
                </c:pt>
                <c:pt idx="1">
                  <c:v>0.65168529816762288</c:v>
                </c:pt>
                <c:pt idx="2">
                  <c:v>0.64983646234047787</c:v>
                </c:pt>
                <c:pt idx="3">
                  <c:v>0.64800205472252792</c:v>
                </c:pt>
                <c:pt idx="4">
                  <c:v>0.64610517427591074</c:v>
                </c:pt>
                <c:pt idx="5">
                  <c:v>0.64426272856017008</c:v>
                </c:pt>
                <c:pt idx="6">
                  <c:v>0.64245199372304429</c:v>
                </c:pt>
                <c:pt idx="7">
                  <c:v>0.64069989520557458</c:v>
                </c:pt>
                <c:pt idx="8">
                  <c:v>0.63890490998492799</c:v>
                </c:pt>
                <c:pt idx="9">
                  <c:v>0.63713273766979484</c:v>
                </c:pt>
                <c:pt idx="10">
                  <c:v>0.63543458966155075</c:v>
                </c:pt>
                <c:pt idx="11">
                  <c:v>0.63365095284005557</c:v>
                </c:pt>
                <c:pt idx="12">
                  <c:v>0.63188089986907747</c:v>
                </c:pt>
                <c:pt idx="13">
                  <c:v>0.6302182085307505</c:v>
                </c:pt>
                <c:pt idx="14">
                  <c:v>0.62853850362608321</c:v>
                </c:pt>
                <c:pt idx="15">
                  <c:v>0.62687235752888792</c:v>
                </c:pt>
                <c:pt idx="16">
                  <c:v>0.62523464791715877</c:v>
                </c:pt>
                <c:pt idx="17">
                  <c:v>0.62354097533178277</c:v>
                </c:pt>
                <c:pt idx="18">
                  <c:v>0.62197943180414406</c:v>
                </c:pt>
                <c:pt idx="19">
                  <c:v>0.62031632597354691</c:v>
                </c:pt>
                <c:pt idx="20">
                  <c:v>0.61871743267472468</c:v>
                </c:pt>
                <c:pt idx="21">
                  <c:v>0.61709389976476658</c:v>
                </c:pt>
                <c:pt idx="22">
                  <c:v>0.61551303249605172</c:v>
                </c:pt>
                <c:pt idx="23">
                  <c:v>0.61395290830063631</c:v>
                </c:pt>
                <c:pt idx="24">
                  <c:v>0.61226694309671303</c:v>
                </c:pt>
                <c:pt idx="25">
                  <c:v>0.61073849590594054</c:v>
                </c:pt>
                <c:pt idx="26">
                  <c:v>0.60917321612449848</c:v>
                </c:pt>
                <c:pt idx="27">
                  <c:v>0.60760606324180599</c:v>
                </c:pt>
                <c:pt idx="28">
                  <c:v>0.60614288330609445</c:v>
                </c:pt>
                <c:pt idx="29">
                  <c:v>0.60483838674990953</c:v>
                </c:pt>
                <c:pt idx="30">
                  <c:v>0.60323341866334046</c:v>
                </c:pt>
                <c:pt idx="31">
                  <c:v>0.60176308255045829</c:v>
                </c:pt>
                <c:pt idx="32">
                  <c:v>0.60012411754064465</c:v>
                </c:pt>
                <c:pt idx="33">
                  <c:v>0.59875918952895724</c:v>
                </c:pt>
                <c:pt idx="34">
                  <c:v>0.59714976214846405</c:v>
                </c:pt>
                <c:pt idx="35">
                  <c:v>0.59587261837163008</c:v>
                </c:pt>
                <c:pt idx="36">
                  <c:v>0.59425216132113667</c:v>
                </c:pt>
                <c:pt idx="37">
                  <c:v>0.59289216156754654</c:v>
                </c:pt>
                <c:pt idx="38">
                  <c:v>0.59130620209059803</c:v>
                </c:pt>
                <c:pt idx="39">
                  <c:v>0.58997213054245368</c:v>
                </c:pt>
                <c:pt idx="40">
                  <c:v>0.5889181436262958</c:v>
                </c:pt>
                <c:pt idx="41">
                  <c:v>0.58708620395393007</c:v>
                </c:pt>
                <c:pt idx="42">
                  <c:v>0.58594805145088202</c:v>
                </c:pt>
                <c:pt idx="43">
                  <c:v>0.58440898926122831</c:v>
                </c:pt>
                <c:pt idx="44">
                  <c:v>0.58265224608439914</c:v>
                </c:pt>
                <c:pt idx="45">
                  <c:v>0.5816885355084801</c:v>
                </c:pt>
                <c:pt idx="46">
                  <c:v>0.57966368639258015</c:v>
                </c:pt>
                <c:pt idx="47">
                  <c:v>0.57837340488671107</c:v>
                </c:pt>
                <c:pt idx="48">
                  <c:v>0.57761806439224006</c:v>
                </c:pt>
                <c:pt idx="49">
                  <c:v>0.57567550804153311</c:v>
                </c:pt>
                <c:pt idx="50">
                  <c:v>0.57436853950265676</c:v>
                </c:pt>
                <c:pt idx="51">
                  <c:v>0.57280117411216303</c:v>
                </c:pt>
                <c:pt idx="52">
                  <c:v>0.57168524289573353</c:v>
                </c:pt>
                <c:pt idx="53">
                  <c:v>0.57089018533970926</c:v>
                </c:pt>
                <c:pt idx="54">
                  <c:v>0.56936966922128973</c:v>
                </c:pt>
                <c:pt idx="55">
                  <c:v>0.5681294987036738</c:v>
                </c:pt>
                <c:pt idx="56">
                  <c:v>0.56615064659924064</c:v>
                </c:pt>
                <c:pt idx="57">
                  <c:v>0.56486145624451845</c:v>
                </c:pt>
                <c:pt idx="58">
                  <c:v>0.56346072153252191</c:v>
                </c:pt>
                <c:pt idx="59">
                  <c:v>0.5625891188504597</c:v>
                </c:pt>
                <c:pt idx="60">
                  <c:v>0.56055676060922599</c:v>
                </c:pt>
                <c:pt idx="61">
                  <c:v>0.55948802000348175</c:v>
                </c:pt>
                <c:pt idx="62">
                  <c:v>0.55849816857063883</c:v>
                </c:pt>
                <c:pt idx="63">
                  <c:v>0.55610872256674815</c:v>
                </c:pt>
                <c:pt idx="64">
                  <c:v>0.55528294461579863</c:v>
                </c:pt>
                <c:pt idx="65">
                  <c:v>0.55400403174610369</c:v>
                </c:pt>
                <c:pt idx="66">
                  <c:v>0.55305531326517254</c:v>
                </c:pt>
                <c:pt idx="67">
                  <c:v>0.55108139417097435</c:v>
                </c:pt>
                <c:pt idx="68">
                  <c:v>0.5512897090401192</c:v>
                </c:pt>
                <c:pt idx="69">
                  <c:v>0.54848306291884519</c:v>
                </c:pt>
                <c:pt idx="70">
                  <c:v>0.54892782660607631</c:v>
                </c:pt>
                <c:pt idx="71">
                  <c:v>0.54826474624705057</c:v>
                </c:pt>
                <c:pt idx="72">
                  <c:v>0.54561799155521107</c:v>
                </c:pt>
                <c:pt idx="73">
                  <c:v>0.54248745153127453</c:v>
                </c:pt>
                <c:pt idx="74">
                  <c:v>0.54105197349162437</c:v>
                </c:pt>
                <c:pt idx="75">
                  <c:v>0.54179084518392395</c:v>
                </c:pt>
                <c:pt idx="76">
                  <c:v>0.54080246333443094</c:v>
                </c:pt>
                <c:pt idx="77">
                  <c:v>0.53932645547353109</c:v>
                </c:pt>
                <c:pt idx="78">
                  <c:v>0.53682507661390599</c:v>
                </c:pt>
                <c:pt idx="79">
                  <c:v>0.53591571532048254</c:v>
                </c:pt>
                <c:pt idx="80">
                  <c:v>0.53290256815607351</c:v>
                </c:pt>
                <c:pt idx="81">
                  <c:v>0.53335249765631298</c:v>
                </c:pt>
                <c:pt idx="82">
                  <c:v>0.53407333477913044</c:v>
                </c:pt>
                <c:pt idx="83">
                  <c:v>0.52982657715023029</c:v>
                </c:pt>
                <c:pt idx="84">
                  <c:v>0.53245748668715132</c:v>
                </c:pt>
                <c:pt idx="85">
                  <c:v>0.53203068983739932</c:v>
                </c:pt>
                <c:pt idx="86">
                  <c:v>0.5285304259175605</c:v>
                </c:pt>
                <c:pt idx="87">
                  <c:v>0.52734613837832089</c:v>
                </c:pt>
                <c:pt idx="88">
                  <c:v>0.52498133240256806</c:v>
                </c:pt>
                <c:pt idx="89">
                  <c:v>0.52297721827955002</c:v>
                </c:pt>
                <c:pt idx="90">
                  <c:v>0.52238696621625402</c:v>
                </c:pt>
                <c:pt idx="91">
                  <c:v>0.52021278978426155</c:v>
                </c:pt>
                <c:pt idx="92">
                  <c:v>0.52112450600565341</c:v>
                </c:pt>
                <c:pt idx="93">
                  <c:v>0.51793965578562151</c:v>
                </c:pt>
                <c:pt idx="94">
                  <c:v>0.5200368945093462</c:v>
                </c:pt>
                <c:pt idx="95">
                  <c:v>0.51462693754754119</c:v>
                </c:pt>
                <c:pt idx="96">
                  <c:v>0.5211344571366533</c:v>
                </c:pt>
                <c:pt idx="97">
                  <c:v>0.51283695203768276</c:v>
                </c:pt>
                <c:pt idx="98">
                  <c:v>0.51608357839980046</c:v>
                </c:pt>
                <c:pt idx="99">
                  <c:v>0.51873807204960132</c:v>
                </c:pt>
                <c:pt idx="100">
                  <c:v>0.51545873660388064</c:v>
                </c:pt>
                <c:pt idx="101">
                  <c:v>0.51283695203768276</c:v>
                </c:pt>
                <c:pt idx="102">
                  <c:v>0.51321857537925497</c:v>
                </c:pt>
                <c:pt idx="103">
                  <c:v>0.5163245349217731</c:v>
                </c:pt>
                <c:pt idx="104">
                  <c:v>0.51652759023651496</c:v>
                </c:pt>
                <c:pt idx="105">
                  <c:v>0.5132050429308207</c:v>
                </c:pt>
                <c:pt idx="106">
                  <c:v>0.51316440285740605</c:v>
                </c:pt>
                <c:pt idx="107">
                  <c:v>0.51644417302050105</c:v>
                </c:pt>
                <c:pt idx="108">
                  <c:v>0.51019295228772532</c:v>
                </c:pt>
                <c:pt idx="109">
                  <c:v>0.50352596637055547</c:v>
                </c:pt>
                <c:pt idx="110">
                  <c:v>0.50943634993458975</c:v>
                </c:pt>
                <c:pt idx="111">
                  <c:v>0.51223964707651015</c:v>
                </c:pt>
                <c:pt idx="112">
                  <c:v>0.51060054390671405</c:v>
                </c:pt>
                <c:pt idx="113">
                  <c:v>0.51400465726497002</c:v>
                </c:pt>
                <c:pt idx="114">
                  <c:v>0.50924761917621242</c:v>
                </c:pt>
                <c:pt idx="115">
                  <c:v>0.50744988076148689</c:v>
                </c:pt>
              </c:numCache>
            </c:numRef>
          </c:xVal>
          <c:yVal>
            <c:numRef>
              <c:f>Calc!$Y$15:$Y$130</c:f>
              <c:numCache>
                <c:formatCode>0.00</c:formatCode>
                <c:ptCount val="116"/>
                <c:pt idx="0">
                  <c:v>52.075209035462407</c:v>
                </c:pt>
                <c:pt idx="1">
                  <c:v>49.30098253974662</c:v>
                </c:pt>
                <c:pt idx="2">
                  <c:v>46.634792137465212</c:v>
                </c:pt>
                <c:pt idx="3">
                  <c:v>44.113913899869409</c:v>
                </c:pt>
                <c:pt idx="4">
                  <c:v>41.696847408151932</c:v>
                </c:pt>
                <c:pt idx="5">
                  <c:v>39.43888676285313</c:v>
                </c:pt>
                <c:pt idx="6">
                  <c:v>37.327363261912645</c:v>
                </c:pt>
                <c:pt idx="7">
                  <c:v>35.336299183778081</c:v>
                </c:pt>
                <c:pt idx="8">
                  <c:v>33.45267366630636</c:v>
                </c:pt>
                <c:pt idx="9">
                  <c:v>31.684145582740612</c:v>
                </c:pt>
                <c:pt idx="10">
                  <c:v>30.018688154684</c:v>
                </c:pt>
                <c:pt idx="11">
                  <c:v>28.448549878123639</c:v>
                </c:pt>
                <c:pt idx="12">
                  <c:v>26.966804678532231</c:v>
                </c:pt>
                <c:pt idx="13">
                  <c:v>25.565485199803643</c:v>
                </c:pt>
                <c:pt idx="14">
                  <c:v>24.2486633921711</c:v>
                </c:pt>
                <c:pt idx="15">
                  <c:v>23.016566590652975</c:v>
                </c:pt>
                <c:pt idx="16">
                  <c:v>21.849361042149596</c:v>
                </c:pt>
                <c:pt idx="17">
                  <c:v>20.741862858652979</c:v>
                </c:pt>
                <c:pt idx="18">
                  <c:v>19.698941278620836</c:v>
                </c:pt>
                <c:pt idx="19">
                  <c:v>18.709025991617327</c:v>
                </c:pt>
                <c:pt idx="20">
                  <c:v>17.773925630183978</c:v>
                </c:pt>
                <c:pt idx="21">
                  <c:v>16.891949225463431</c:v>
                </c:pt>
                <c:pt idx="22">
                  <c:v>16.05304214384396</c:v>
                </c:pt>
                <c:pt idx="23">
                  <c:v>15.263893094801178</c:v>
                </c:pt>
                <c:pt idx="24">
                  <c:v>14.516705754788321</c:v>
                </c:pt>
                <c:pt idx="25">
                  <c:v>13.810414503386347</c:v>
                </c:pt>
                <c:pt idx="26">
                  <c:v>13.144197224281088</c:v>
                </c:pt>
                <c:pt idx="27">
                  <c:v>12.506882950844805</c:v>
                </c:pt>
                <c:pt idx="28">
                  <c:v>11.909315770450922</c:v>
                </c:pt>
                <c:pt idx="29">
                  <c:v>11.344109947021837</c:v>
                </c:pt>
                <c:pt idx="30">
                  <c:v>10.801111677632303</c:v>
                </c:pt>
                <c:pt idx="31">
                  <c:v>10.295872159289841</c:v>
                </c:pt>
                <c:pt idx="32">
                  <c:v>9.8146887754138508</c:v>
                </c:pt>
                <c:pt idx="33">
                  <c:v>9.3535907152261668</c:v>
                </c:pt>
                <c:pt idx="34">
                  <c:v>8.9205485607732289</c:v>
                </c:pt>
                <c:pt idx="35">
                  <c:v>8.5087847323006915</c:v>
                </c:pt>
                <c:pt idx="36">
                  <c:v>8.1165188885494342</c:v>
                </c:pt>
                <c:pt idx="37">
                  <c:v>7.7453456300007142</c:v>
                </c:pt>
                <c:pt idx="38">
                  <c:v>7.3901705691275135</c:v>
                </c:pt>
                <c:pt idx="39">
                  <c:v>7.0538882794981834</c:v>
                </c:pt>
                <c:pt idx="40">
                  <c:v>6.7361528181712718</c:v>
                </c:pt>
                <c:pt idx="41">
                  <c:v>6.4339172442284669</c:v>
                </c:pt>
                <c:pt idx="42">
                  <c:v>6.1456617916483074</c:v>
                </c:pt>
                <c:pt idx="43">
                  <c:v>5.8686298205692067</c:v>
                </c:pt>
                <c:pt idx="44">
                  <c:v>5.609044391312267</c:v>
                </c:pt>
                <c:pt idx="45">
                  <c:v>5.3602902862933011</c:v>
                </c:pt>
                <c:pt idx="46">
                  <c:v>5.1238902077425807</c:v>
                </c:pt>
                <c:pt idx="47">
                  <c:v>4.8986781909162938</c:v>
                </c:pt>
                <c:pt idx="48">
                  <c:v>4.6845614482408457</c:v>
                </c:pt>
                <c:pt idx="49">
                  <c:v>4.4776378596267916</c:v>
                </c:pt>
                <c:pt idx="50">
                  <c:v>4.2792270927048204</c:v>
                </c:pt>
                <c:pt idx="51">
                  <c:v>4.09399498153679</c:v>
                </c:pt>
                <c:pt idx="52">
                  <c:v>3.9175048543983042</c:v>
                </c:pt>
                <c:pt idx="53">
                  <c:v>3.7467480942983928</c:v>
                </c:pt>
                <c:pt idx="54">
                  <c:v>3.5865604293028084</c:v>
                </c:pt>
                <c:pt idx="55">
                  <c:v>3.4389236150850078</c:v>
                </c:pt>
                <c:pt idx="56">
                  <c:v>3.2906136218661319</c:v>
                </c:pt>
                <c:pt idx="57">
                  <c:v>3.150413577023679</c:v>
                </c:pt>
                <c:pt idx="58">
                  <c:v>3.0144021125508798</c:v>
                </c:pt>
                <c:pt idx="59">
                  <c:v>2.8854245484426353</c:v>
                </c:pt>
                <c:pt idx="60">
                  <c:v>2.7628357401244963</c:v>
                </c:pt>
                <c:pt idx="61">
                  <c:v>2.6436601451778565</c:v>
                </c:pt>
                <c:pt idx="62">
                  <c:v>2.5310845590876734</c:v>
                </c:pt>
                <c:pt idx="63">
                  <c:v>2.4244887774681634</c:v>
                </c:pt>
                <c:pt idx="64">
                  <c:v>2.3195564053684423</c:v>
                </c:pt>
                <c:pt idx="65">
                  <c:v>2.2223506410618268</c:v>
                </c:pt>
                <c:pt idx="66">
                  <c:v>2.1288479081491931</c:v>
                </c:pt>
                <c:pt idx="67">
                  <c:v>2.0380654359029666</c:v>
                </c:pt>
                <c:pt idx="68">
                  <c:v>1.9519827240701988</c:v>
                </c:pt>
                <c:pt idx="69">
                  <c:v>1.8686337919244442</c:v>
                </c:pt>
                <c:pt idx="70">
                  <c:v>1.7886148971388935</c:v>
                </c:pt>
                <c:pt idx="71">
                  <c:v>1.7143923925756321</c:v>
                </c:pt>
                <c:pt idx="72">
                  <c:v>1.6405100598385993</c:v>
                </c:pt>
                <c:pt idx="73">
                  <c:v>1.5731268765662918</c:v>
                </c:pt>
                <c:pt idx="74">
                  <c:v>1.5048695377329138</c:v>
                </c:pt>
                <c:pt idx="75">
                  <c:v>1.4433233410389668</c:v>
                </c:pt>
                <c:pt idx="76">
                  <c:v>1.3816975587277445</c:v>
                </c:pt>
                <c:pt idx="77">
                  <c:v>1.3230744839371975</c:v>
                </c:pt>
                <c:pt idx="78">
                  <c:v>1.2660376539269662</c:v>
                </c:pt>
                <c:pt idx="79">
                  <c:v>1.2118785844091016</c:v>
                </c:pt>
                <c:pt idx="80">
                  <c:v>1.162271397372123</c:v>
                </c:pt>
                <c:pt idx="81">
                  <c:v>1.1115189842945039</c:v>
                </c:pt>
                <c:pt idx="82">
                  <c:v>1.0645968347083101</c:v>
                </c:pt>
                <c:pt idx="83">
                  <c:v>1.0180215937076611</c:v>
                </c:pt>
                <c:pt idx="84">
                  <c:v>0.97593550271231644</c:v>
                </c:pt>
                <c:pt idx="85">
                  <c:v>0.93585078720927239</c:v>
                </c:pt>
                <c:pt idx="86">
                  <c:v>0.89304338293067809</c:v>
                </c:pt>
                <c:pt idx="87">
                  <c:v>0.85662682661719025</c:v>
                </c:pt>
                <c:pt idx="88">
                  <c:v>0.81866737510335952</c:v>
                </c:pt>
                <c:pt idx="89">
                  <c:v>0.78385238677305658</c:v>
                </c:pt>
                <c:pt idx="90">
                  <c:v>0.74770329446609141</c:v>
                </c:pt>
                <c:pt idx="91">
                  <c:v>0.71661645620446179</c:v>
                </c:pt>
                <c:pt idx="92">
                  <c:v>0.68724486269603124</c:v>
                </c:pt>
                <c:pt idx="93">
                  <c:v>0.655692608027868</c:v>
                </c:pt>
                <c:pt idx="94">
                  <c:v>0.62953592136103409</c:v>
                </c:pt>
                <c:pt idx="95">
                  <c:v>0.59989895714261421</c:v>
                </c:pt>
                <c:pt idx="96">
                  <c:v>0.57592623039951019</c:v>
                </c:pt>
                <c:pt idx="97">
                  <c:v>0.55134253931150745</c:v>
                </c:pt>
                <c:pt idx="98">
                  <c:v>0.52816945199592158</c:v>
                </c:pt>
                <c:pt idx="99">
                  <c:v>0.50499118445206825</c:v>
                </c:pt>
                <c:pt idx="100">
                  <c:v>0.48597152658770937</c:v>
                </c:pt>
                <c:pt idx="101">
                  <c:v>0.46159345828772308</c:v>
                </c:pt>
                <c:pt idx="102">
                  <c:v>0.44102798833028317</c:v>
                </c:pt>
                <c:pt idx="103">
                  <c:v>0.42190514950660213</c:v>
                </c:pt>
                <c:pt idx="104">
                  <c:v>0.40559956531820712</c:v>
                </c:pt>
                <c:pt idx="105">
                  <c:v>0.38841964450861455</c:v>
                </c:pt>
                <c:pt idx="106">
                  <c:v>0.37016514701087194</c:v>
                </c:pt>
                <c:pt idx="107">
                  <c:v>0.35381384693679563</c:v>
                </c:pt>
                <c:pt idx="108">
                  <c:v>0.33799207417882182</c:v>
                </c:pt>
                <c:pt idx="109">
                  <c:v>0.32127411687592861</c:v>
                </c:pt>
                <c:pt idx="110">
                  <c:v>0.30756440431954396</c:v>
                </c:pt>
                <c:pt idx="111">
                  <c:v>0.29194508149639553</c:v>
                </c:pt>
                <c:pt idx="112">
                  <c:v>0.27920625382901931</c:v>
                </c:pt>
                <c:pt idx="113">
                  <c:v>0.26690385954235346</c:v>
                </c:pt>
                <c:pt idx="114">
                  <c:v>0.25501425521971677</c:v>
                </c:pt>
                <c:pt idx="115">
                  <c:v>0.24346368460976828</c:v>
                </c:pt>
              </c:numCache>
            </c:numRef>
          </c:yVal>
          <c:smooth val="0"/>
        </c:ser>
        <c:dLbls>
          <c:showLegendKey val="0"/>
          <c:showVal val="0"/>
          <c:showCatName val="0"/>
          <c:showSerName val="0"/>
          <c:showPercent val="0"/>
          <c:showBubbleSize val="0"/>
        </c:dLbls>
        <c:axId val="248642176"/>
        <c:axId val="248699520"/>
      </c:scatterChart>
      <c:valAx>
        <c:axId val="248642176"/>
        <c:scaling>
          <c:orientation val="minMax"/>
          <c:min val="0.4"/>
        </c:scaling>
        <c:delete val="0"/>
        <c:axPos val="b"/>
        <c:majorGridlines/>
        <c:title>
          <c:tx>
            <c:rich>
              <a:bodyPr/>
              <a:lstStyle/>
              <a:p>
                <a:pPr>
                  <a:defRPr sz="1200"/>
                </a:pPr>
                <a:r>
                  <a:rPr lang="en-US" sz="1200"/>
                  <a:t>Implied Open Circuit Voltage (V)</a:t>
                </a:r>
              </a:p>
            </c:rich>
          </c:tx>
          <c:layout/>
          <c:overlay val="0"/>
        </c:title>
        <c:numFmt formatCode="0.0000" sourceLinked="1"/>
        <c:majorTickMark val="out"/>
        <c:minorTickMark val="none"/>
        <c:tickLblPos val="low"/>
        <c:txPr>
          <a:bodyPr/>
          <a:lstStyle/>
          <a:p>
            <a:pPr>
              <a:defRPr b="1"/>
            </a:pPr>
            <a:endParaRPr lang="en-US"/>
          </a:p>
        </c:txPr>
        <c:crossAx val="248699520"/>
        <c:crosses val="autoZero"/>
        <c:crossBetween val="midCat"/>
      </c:valAx>
      <c:valAx>
        <c:axId val="248699520"/>
        <c:scaling>
          <c:logBase val="10"/>
          <c:orientation val="minMax"/>
          <c:min val="1.0000000000000005E-2"/>
        </c:scaling>
        <c:delete val="0"/>
        <c:axPos val="l"/>
        <c:majorGridlines/>
        <c:minorGridlines>
          <c:spPr>
            <a:ln>
              <a:solidFill>
                <a:sysClr val="windowText" lastClr="000000">
                  <a:alpha val="14000"/>
                </a:sysClr>
              </a:solidFill>
            </a:ln>
          </c:spPr>
        </c:minorGridlines>
        <c:title>
          <c:tx>
            <c:rich>
              <a:bodyPr rot="-5400000" vert="horz"/>
              <a:lstStyle/>
              <a:p>
                <a:pPr>
                  <a:defRPr sz="1200"/>
                </a:pPr>
                <a:r>
                  <a:rPr lang="en-US" sz="1200"/>
                  <a:t>Illumination (suns)</a:t>
                </a:r>
              </a:p>
            </c:rich>
          </c:tx>
          <c:layout>
            <c:manualLayout>
              <c:xMode val="edge"/>
              <c:yMode val="edge"/>
              <c:x val="1.8071371958637901E-2"/>
              <c:y val="0.32461372998119942"/>
            </c:manualLayout>
          </c:layout>
          <c:overlay val="0"/>
        </c:title>
        <c:numFmt formatCode="0.00" sourceLinked="0"/>
        <c:majorTickMark val="out"/>
        <c:minorTickMark val="none"/>
        <c:tickLblPos val="nextTo"/>
        <c:spPr>
          <a:ln>
            <a:solidFill>
              <a:schemeClr val="tx1"/>
            </a:solidFill>
          </a:ln>
        </c:spPr>
        <c:txPr>
          <a:bodyPr/>
          <a:lstStyle/>
          <a:p>
            <a:pPr>
              <a:defRPr b="1"/>
            </a:pPr>
            <a:endParaRPr lang="en-US"/>
          </a:p>
        </c:txPr>
        <c:crossAx val="248642176"/>
        <c:crosses val="autoZero"/>
        <c:crossBetween val="midCat"/>
      </c:valAx>
      <c:spPr>
        <a:ln>
          <a:solidFill>
            <a:sysClr val="windowText" lastClr="000000"/>
          </a:solidFill>
        </a:ln>
      </c:spPr>
    </c:plotArea>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Minority Carrier Lifetime (no Auger Correction)  vs Minority Carrier Density</a:t>
            </a:r>
          </a:p>
        </c:rich>
      </c:tx>
      <c:layout/>
      <c:overlay val="0"/>
    </c:title>
    <c:autoTitleDeleted val="0"/>
    <c:plotArea>
      <c:layout>
        <c:manualLayout>
          <c:layoutTarget val="inner"/>
          <c:xMode val="edge"/>
          <c:yMode val="edge"/>
          <c:x val="0.20028010770872823"/>
          <c:y val="0.15809193315655617"/>
          <c:w val="0.6849045629151016"/>
          <c:h val="0.70089497782069665"/>
        </c:manualLayout>
      </c:layout>
      <c:scatterChart>
        <c:scatterStyle val="lineMarker"/>
        <c:varyColors val="0"/>
        <c:ser>
          <c:idx val="0"/>
          <c:order val="0"/>
          <c:tx>
            <c:v>Minority Carrier Density</c:v>
          </c:tx>
          <c:spPr>
            <a:ln w="28575">
              <a:noFill/>
            </a:ln>
          </c:spPr>
          <c:marker>
            <c:symbol val="square"/>
            <c:size val="6"/>
            <c:spPr>
              <a:solidFill>
                <a:srgbClr val="FF0000"/>
              </a:solidFill>
              <a:ln>
                <a:noFill/>
              </a:ln>
            </c:spPr>
          </c:marker>
          <c:xVal>
            <c:numRef>
              <c:f>Calc!$O$12:$O$131</c:f>
              <c:numCache>
                <c:formatCode>0.00E+00</c:formatCode>
                <c:ptCount val="120"/>
                <c:pt idx="0">
                  <c:v>1384023143857424</c:v>
                </c:pt>
                <c:pt idx="1">
                  <c:v>1322367196618833.2</c:v>
                </c:pt>
                <c:pt idx="2">
                  <c:v>1249615288614097.2</c:v>
                </c:pt>
                <c:pt idx="3">
                  <c:v>1178388243205680</c:v>
                </c:pt>
                <c:pt idx="4">
                  <c:v>1108093752644079.5</c:v>
                </c:pt>
                <c:pt idx="5">
                  <c:v>1041183839619559.1</c:v>
                </c:pt>
                <c:pt idx="6">
                  <c:v>978368144130095.25</c:v>
                </c:pt>
                <c:pt idx="7">
                  <c:v>916991698137804.12</c:v>
                </c:pt>
                <c:pt idx="8">
                  <c:v>860705038298975.37</c:v>
                </c:pt>
                <c:pt idx="9">
                  <c:v>808438784862025.5</c:v>
                </c:pt>
                <c:pt idx="10">
                  <c:v>760615872535374</c:v>
                </c:pt>
                <c:pt idx="11">
                  <c:v>714301263726414.75</c:v>
                </c:pt>
                <c:pt idx="12">
                  <c:v>671113596181405.25</c:v>
                </c:pt>
                <c:pt idx="13">
                  <c:v>631987287110962.62</c:v>
                </c:pt>
                <c:pt idx="14">
                  <c:v>593159100886864.75</c:v>
                </c:pt>
                <c:pt idx="15">
                  <c:v>556814747668234.69</c:v>
                </c:pt>
                <c:pt idx="16">
                  <c:v>524565258522314.31</c:v>
                </c:pt>
                <c:pt idx="17">
                  <c:v>493756669006744.94</c:v>
                </c:pt>
                <c:pt idx="18">
                  <c:v>464871884458455.69</c:v>
                </c:pt>
                <c:pt idx="19">
                  <c:v>438028226565760.69</c:v>
                </c:pt>
                <c:pt idx="20">
                  <c:v>411803263592072.56</c:v>
                </c:pt>
                <c:pt idx="21">
                  <c:v>388941289292236.75</c:v>
                </c:pt>
                <c:pt idx="22">
                  <c:v>365913839159867.62</c:v>
                </c:pt>
                <c:pt idx="23">
                  <c:v>344998097970817.44</c:v>
                </c:pt>
                <c:pt idx="24">
                  <c:v>324925326092641.62</c:v>
                </c:pt>
                <c:pt idx="25">
                  <c:v>306452484310061.25</c:v>
                </c:pt>
                <c:pt idx="26">
                  <c:v>289207935739265.19</c:v>
                </c:pt>
                <c:pt idx="27">
                  <c:v>271617616545011.16</c:v>
                </c:pt>
                <c:pt idx="28">
                  <c:v>256561458454549.56</c:v>
                </c:pt>
                <c:pt idx="29">
                  <c:v>241975438867448</c:v>
                </c:pt>
                <c:pt idx="30">
                  <c:v>228173813573934.72</c:v>
                </c:pt>
                <c:pt idx="31">
                  <c:v>215975818402537.47</c:v>
                </c:pt>
                <c:pt idx="32">
                  <c:v>205634178117005.5</c:v>
                </c:pt>
                <c:pt idx="33">
                  <c:v>193567083682902.25</c:v>
                </c:pt>
                <c:pt idx="34">
                  <c:v>183117022051865.12</c:v>
                </c:pt>
                <c:pt idx="35">
                  <c:v>172114120544161.41</c:v>
                </c:pt>
                <c:pt idx="36">
                  <c:v>163444171688454</c:v>
                </c:pt>
                <c:pt idx="37">
                  <c:v>153766956186726.56</c:v>
                </c:pt>
                <c:pt idx="38">
                  <c:v>146487612355281.22</c:v>
                </c:pt>
                <c:pt idx="39">
                  <c:v>137734521344444.28</c:v>
                </c:pt>
                <c:pt idx="40">
                  <c:v>130784840781234.36</c:v>
                </c:pt>
                <c:pt idx="41">
                  <c:v>123113398272654.2</c:v>
                </c:pt>
                <c:pt idx="42">
                  <c:v>117003327740808.47</c:v>
                </c:pt>
                <c:pt idx="43">
                  <c:v>112387323458776.48</c:v>
                </c:pt>
                <c:pt idx="44">
                  <c:v>104786056125410.87</c:v>
                </c:pt>
                <c:pt idx="45">
                  <c:v>100320447687320.59</c:v>
                </c:pt>
                <c:pt idx="46">
                  <c:v>94578344515022.641</c:v>
                </c:pt>
                <c:pt idx="47">
                  <c:v>88418882825678.047</c:v>
                </c:pt>
                <c:pt idx="48">
                  <c:v>85209631425607.297</c:v>
                </c:pt>
                <c:pt idx="49">
                  <c:v>78836265420938.016</c:v>
                </c:pt>
                <c:pt idx="50">
                  <c:v>75022881074222.219</c:v>
                </c:pt>
                <c:pt idx="51">
                  <c:v>72875641270129.312</c:v>
                </c:pt>
                <c:pt idx="52">
                  <c:v>67628386842523.773</c:v>
                </c:pt>
                <c:pt idx="53">
                  <c:v>64310029775413.234</c:v>
                </c:pt>
                <c:pt idx="54">
                  <c:v>60542390994009.344</c:v>
                </c:pt>
                <c:pt idx="55">
                  <c:v>57993901009145.945</c:v>
                </c:pt>
                <c:pt idx="56">
                  <c:v>56243295913538.57</c:v>
                </c:pt>
                <c:pt idx="57">
                  <c:v>53039860911835.219</c:v>
                </c:pt>
                <c:pt idx="58">
                  <c:v>50561494886832.953</c:v>
                </c:pt>
                <c:pt idx="59">
                  <c:v>46842659548503.156</c:v>
                </c:pt>
                <c:pt idx="60">
                  <c:v>44567224207270.328</c:v>
                </c:pt>
                <c:pt idx="61">
                  <c:v>42219139873242.008</c:v>
                </c:pt>
                <c:pt idx="62">
                  <c:v>40820483183495.492</c:v>
                </c:pt>
                <c:pt idx="63">
                  <c:v>37735389012294.234</c:v>
                </c:pt>
                <c:pt idx="64">
                  <c:v>36207171521484.844</c:v>
                </c:pt>
                <c:pt idx="65">
                  <c:v>34846697196519.297</c:v>
                </c:pt>
                <c:pt idx="66">
                  <c:v>31768404369229.223</c:v>
                </c:pt>
                <c:pt idx="67">
                  <c:v>30768723496900.984</c:v>
                </c:pt>
                <c:pt idx="68">
                  <c:v>29281903955985.262</c:v>
                </c:pt>
                <c:pt idx="69">
                  <c:v>28225347634209.418</c:v>
                </c:pt>
                <c:pt idx="70">
                  <c:v>26147115612399.453</c:v>
                </c:pt>
                <c:pt idx="71">
                  <c:v>26359045902355.516</c:v>
                </c:pt>
                <c:pt idx="72">
                  <c:v>23641997419668.133</c:v>
                </c:pt>
                <c:pt idx="73">
                  <c:v>24053179978308.184</c:v>
                </c:pt>
                <c:pt idx="74">
                  <c:v>23442733591886.176</c:v>
                </c:pt>
                <c:pt idx="75">
                  <c:v>21156017140745.316</c:v>
                </c:pt>
                <c:pt idx="76">
                  <c:v>18736608999881.207</c:v>
                </c:pt>
                <c:pt idx="77">
                  <c:v>17721451267114.605</c:v>
                </c:pt>
                <c:pt idx="78">
                  <c:v>18236933029368.414</c:v>
                </c:pt>
                <c:pt idx="79">
                  <c:v>17550679677190.812</c:v>
                </c:pt>
                <c:pt idx="80">
                  <c:v>16573501137025.609</c:v>
                </c:pt>
                <c:pt idx="81">
                  <c:v>15039791537631.945</c:v>
                </c:pt>
                <c:pt idx="82">
                  <c:v>14518027858406.648</c:v>
                </c:pt>
                <c:pt idx="83">
                  <c:v>12914834252620.588</c:v>
                </c:pt>
                <c:pt idx="84">
                  <c:v>13142502683457.309</c:v>
                </c:pt>
                <c:pt idx="85">
                  <c:v>13515628832713.826</c:v>
                </c:pt>
                <c:pt idx="86">
                  <c:v>11460317463466.738</c:v>
                </c:pt>
                <c:pt idx="87">
                  <c:v>12693491225094.637</c:v>
                </c:pt>
                <c:pt idx="88">
                  <c:v>12484797526643.662</c:v>
                </c:pt>
                <c:pt idx="89">
                  <c:v>10897497332527.189</c:v>
                </c:pt>
                <c:pt idx="90">
                  <c:v>10407407798907.189</c:v>
                </c:pt>
                <c:pt idx="91">
                  <c:v>9493644485421.7773</c:v>
                </c:pt>
                <c:pt idx="92">
                  <c:v>8782251956720.3486</c:v>
                </c:pt>
                <c:pt idx="93">
                  <c:v>8583064385565.6006</c:v>
                </c:pt>
                <c:pt idx="94">
                  <c:v>7887496759125.7617</c:v>
                </c:pt>
                <c:pt idx="95">
                  <c:v>8172045644842.2041</c:v>
                </c:pt>
                <c:pt idx="96">
                  <c:v>7220395884827.8486</c:v>
                </c:pt>
                <c:pt idx="97">
                  <c:v>7833748870549.1162</c:v>
                </c:pt>
                <c:pt idx="98">
                  <c:v>6347807313656.8789</c:v>
                </c:pt>
                <c:pt idx="99">
                  <c:v>8175207310848.332</c:v>
                </c:pt>
                <c:pt idx="100">
                  <c:v>5921004832731.415</c:v>
                </c:pt>
                <c:pt idx="101">
                  <c:v>6717706594563.874</c:v>
                </c:pt>
                <c:pt idx="102">
                  <c:v>7448030913128.833</c:v>
                </c:pt>
                <c:pt idx="103">
                  <c:v>6556468012947.0098</c:v>
                </c:pt>
                <c:pt idx="104">
                  <c:v>5921004832731.415</c:v>
                </c:pt>
                <c:pt idx="105">
                  <c:v>6009526442900.166</c:v>
                </c:pt>
                <c:pt idx="106">
                  <c:v>6780937593775.5723</c:v>
                </c:pt>
                <c:pt idx="107">
                  <c:v>6834684024118.4814</c:v>
                </c:pt>
                <c:pt idx="108">
                  <c:v>6006364953345.6895</c:v>
                </c:pt>
                <c:pt idx="109">
                  <c:v>5996880486226.126</c:v>
                </c:pt>
                <c:pt idx="110">
                  <c:v>6812553132020.0996</c:v>
                </c:pt>
                <c:pt idx="111">
                  <c:v>5342457853778.2002</c:v>
                </c:pt>
                <c:pt idx="112">
                  <c:v>4122163005976.998</c:v>
                </c:pt>
                <c:pt idx="113">
                  <c:v>5187547831771.0791</c:v>
                </c:pt>
                <c:pt idx="114">
                  <c:v>5785061324616.1641</c:v>
                </c:pt>
                <c:pt idx="115">
                  <c:v>5427816701624.249</c:v>
                </c:pt>
                <c:pt idx="116">
                  <c:v>6196054782584.2285</c:v>
                </c:pt>
                <c:pt idx="117">
                  <c:v>5149610777803.501</c:v>
                </c:pt>
                <c:pt idx="118">
                  <c:v>4801856178219.4492</c:v>
                </c:pt>
                <c:pt idx="119">
                  <c:v>4934634839308.0254</c:v>
                </c:pt>
              </c:numCache>
            </c:numRef>
          </c:xVal>
          <c:yVal>
            <c:numRef>
              <c:f>Calc!$P$12:$P$131</c:f>
              <c:numCache>
                <c:formatCode>0.00E+00</c:formatCode>
                <c:ptCount val="120"/>
                <c:pt idx="0">
                  <c:v>3.0799149052518582E-6</c:v>
                </c:pt>
                <c:pt idx="1">
                  <c:v>3.0423340225423324E-6</c:v>
                </c:pt>
                <c:pt idx="2">
                  <c:v>3.0225209327005229E-6</c:v>
                </c:pt>
                <c:pt idx="3">
                  <c:v>3.00802443386309E-6</c:v>
                </c:pt>
                <c:pt idx="4">
                  <c:v>2.9877545225338654E-6</c:v>
                </c:pt>
                <c:pt idx="5">
                  <c:v>2.9678459467526309E-6</c:v>
                </c:pt>
                <c:pt idx="6">
                  <c:v>2.9481575802211441E-6</c:v>
                </c:pt>
                <c:pt idx="7">
                  <c:v>2.9233860095902225E-6</c:v>
                </c:pt>
                <c:pt idx="8">
                  <c:v>2.9010397412753669E-6</c:v>
                </c:pt>
                <c:pt idx="9">
                  <c:v>2.8790142077357204E-6</c:v>
                </c:pt>
                <c:pt idx="10">
                  <c:v>2.8613323263219345E-6</c:v>
                </c:pt>
                <c:pt idx="11">
                  <c:v>2.8384063202308244E-6</c:v>
                </c:pt>
                <c:pt idx="12">
                  <c:v>2.8156457803896481E-6</c:v>
                </c:pt>
                <c:pt idx="13">
                  <c:v>2.7985986073029044E-6</c:v>
                </c:pt>
                <c:pt idx="14">
                  <c:v>2.7716286702499275E-6</c:v>
                </c:pt>
                <c:pt idx="15">
                  <c:v>2.7447653372902988E-6</c:v>
                </c:pt>
                <c:pt idx="16">
                  <c:v>2.7275295566822044E-6</c:v>
                </c:pt>
                <c:pt idx="17">
                  <c:v>2.7067562629921005E-6</c:v>
                </c:pt>
                <c:pt idx="18">
                  <c:v>2.6848295650047655E-6</c:v>
                </c:pt>
                <c:pt idx="19">
                  <c:v>2.6649393953787757E-6</c:v>
                </c:pt>
                <c:pt idx="20">
                  <c:v>2.6391617385626852E-6</c:v>
                </c:pt>
                <c:pt idx="21">
                  <c:v>2.6246122082805772E-6</c:v>
                </c:pt>
                <c:pt idx="22">
                  <c:v>2.5998700288841228E-6</c:v>
                </c:pt>
                <c:pt idx="23">
                  <c:v>2.5802234787757104E-6</c:v>
                </c:pt>
                <c:pt idx="24">
                  <c:v>2.5569826242435511E-6</c:v>
                </c:pt>
                <c:pt idx="25">
                  <c:v>2.5376386555102025E-6</c:v>
                </c:pt>
                <c:pt idx="26">
                  <c:v>2.5186560893199197E-6</c:v>
                </c:pt>
                <c:pt idx="27">
                  <c:v>2.4872179346179369E-6</c:v>
                </c:pt>
                <c:pt idx="28">
                  <c:v>2.4694980229580494E-6</c:v>
                </c:pt>
                <c:pt idx="29">
                  <c:v>2.447153433766068E-6</c:v>
                </c:pt>
                <c:pt idx="30">
                  <c:v>2.4251616743853841E-6</c:v>
                </c:pt>
                <c:pt idx="31">
                  <c:v>2.4106951742542968E-6</c:v>
                </c:pt>
                <c:pt idx="32">
                  <c:v>2.4096216319963183E-6</c:v>
                </c:pt>
                <c:pt idx="33">
                  <c:v>2.3822483300092886E-6</c:v>
                </c:pt>
                <c:pt idx="34">
                  <c:v>2.3642290876801801E-6</c:v>
                </c:pt>
                <c:pt idx="35">
                  <c:v>2.331116348298223E-6</c:v>
                </c:pt>
                <c:pt idx="36">
                  <c:v>2.3228173252422041E-6</c:v>
                </c:pt>
                <c:pt idx="37">
                  <c:v>2.2913711281181531E-6</c:v>
                </c:pt>
                <c:pt idx="38">
                  <c:v>2.2885338719655849E-6</c:v>
                </c:pt>
                <c:pt idx="39">
                  <c:v>2.2557812428887243E-6</c:v>
                </c:pt>
                <c:pt idx="40">
                  <c:v>2.2446084117573141E-6</c:v>
                </c:pt>
                <c:pt idx="41">
                  <c:v>2.214495681217051E-6</c:v>
                </c:pt>
                <c:pt idx="42">
                  <c:v>2.2049239641345113E-6</c:v>
                </c:pt>
                <c:pt idx="43">
                  <c:v>2.2178357414027109E-6</c:v>
                </c:pt>
                <c:pt idx="44">
                  <c:v>2.1649706102317223E-6</c:v>
                </c:pt>
                <c:pt idx="45">
                  <c:v>2.1699253116888692E-6</c:v>
                </c:pt>
                <c:pt idx="46">
                  <c:v>2.142293511977571E-6</c:v>
                </c:pt>
                <c:pt idx="47">
                  <c:v>2.095463627403407E-6</c:v>
                </c:pt>
                <c:pt idx="48">
                  <c:v>2.1131209606635668E-6</c:v>
                </c:pt>
                <c:pt idx="49">
                  <c:v>2.0452679287547773E-6</c:v>
                </c:pt>
                <c:pt idx="50">
                  <c:v>2.0358173375232294E-6</c:v>
                </c:pt>
                <c:pt idx="51">
                  <c:v>2.0679376010898707E-6</c:v>
                </c:pt>
                <c:pt idx="52">
                  <c:v>2.007724149818206E-6</c:v>
                </c:pt>
                <c:pt idx="53">
                  <c:v>1.997732600659815E-6</c:v>
                </c:pt>
                <c:pt idx="54">
                  <c:v>1.9657860247356532E-6</c:v>
                </c:pt>
                <c:pt idx="55">
                  <c:v>1.9678716100161008E-6</c:v>
                </c:pt>
                <c:pt idx="56">
                  <c:v>1.9954472354702718E-6</c:v>
                </c:pt>
                <c:pt idx="57">
                  <c:v>1.9658401674932891E-6</c:v>
                </c:pt>
                <c:pt idx="58">
                  <c:v>1.9544355651117906E-6</c:v>
                </c:pt>
                <c:pt idx="59">
                  <c:v>1.8922940953121849E-6</c:v>
                </c:pt>
                <c:pt idx="60">
                  <c:v>1.8804941897757028E-6</c:v>
                </c:pt>
                <c:pt idx="61">
                  <c:v>1.8617963581151736E-6</c:v>
                </c:pt>
                <c:pt idx="62">
                  <c:v>1.8805825390222919E-6</c:v>
                </c:pt>
                <c:pt idx="63">
                  <c:v>1.8155898524336651E-6</c:v>
                </c:pt>
                <c:pt idx="64">
                  <c:v>1.8205933674675162E-6</c:v>
                </c:pt>
                <c:pt idx="65">
                  <c:v>1.8301173902307047E-6</c:v>
                </c:pt>
                <c:pt idx="66">
                  <c:v>1.7418036832746762E-6</c:v>
                </c:pt>
                <c:pt idx="67">
                  <c:v>1.7633093966600264E-6</c:v>
                </c:pt>
                <c:pt idx="68">
                  <c:v>1.7515022913274452E-6</c:v>
                </c:pt>
                <c:pt idx="69">
                  <c:v>1.7624574673100287E-6</c:v>
                </c:pt>
                <c:pt idx="70">
                  <c:v>1.705413294287459E-6</c:v>
                </c:pt>
                <c:pt idx="71">
                  <c:v>1.7950547423196869E-6</c:v>
                </c:pt>
                <c:pt idx="72">
                  <c:v>1.6818371758609652E-6</c:v>
                </c:pt>
                <c:pt idx="73">
                  <c:v>1.7876382472222386E-6</c:v>
                </c:pt>
                <c:pt idx="74">
                  <c:v>1.8176991409158953E-6</c:v>
                </c:pt>
                <c:pt idx="75">
                  <c:v>1.7142690844069461E-6</c:v>
                </c:pt>
                <c:pt idx="76">
                  <c:v>1.5832562957580542E-6</c:v>
                </c:pt>
                <c:pt idx="77">
                  <c:v>1.565396701586719E-6</c:v>
                </c:pt>
                <c:pt idx="78">
                  <c:v>1.6796242992795731E-6</c:v>
                </c:pt>
                <c:pt idx="79">
                  <c:v>1.6885150281167433E-6</c:v>
                </c:pt>
                <c:pt idx="80">
                  <c:v>1.6651522523669785E-6</c:v>
                </c:pt>
                <c:pt idx="81">
                  <c:v>1.5791346928579185E-6</c:v>
                </c:pt>
                <c:pt idx="82">
                  <c:v>1.5924745307558712E-6</c:v>
                </c:pt>
                <c:pt idx="83">
                  <c:v>1.4770842498566162E-6</c:v>
                </c:pt>
                <c:pt idx="84">
                  <c:v>1.5717561574049574E-6</c:v>
                </c:pt>
                <c:pt idx="85">
                  <c:v>1.687621566722467E-6</c:v>
                </c:pt>
                <c:pt idx="86">
                  <c:v>1.4964549212494703E-6</c:v>
                </c:pt>
                <c:pt idx="87">
                  <c:v>1.7289560382414248E-6</c:v>
                </c:pt>
                <c:pt idx="88">
                  <c:v>1.7733680276335554E-6</c:v>
                </c:pt>
                <c:pt idx="89">
                  <c:v>1.622102132325199E-6</c:v>
                </c:pt>
                <c:pt idx="90">
                  <c:v>1.6150087583300292E-6</c:v>
                </c:pt>
                <c:pt idx="91">
                  <c:v>1.5415210569825213E-6</c:v>
                </c:pt>
                <c:pt idx="92">
                  <c:v>1.4893459479598916E-6</c:v>
                </c:pt>
                <c:pt idx="93">
                  <c:v>1.5259385924185163E-6</c:v>
                </c:pt>
                <c:pt idx="94">
                  <c:v>1.4631080423342589E-6</c:v>
                </c:pt>
                <c:pt idx="95">
                  <c:v>1.5806774669204997E-6</c:v>
                </c:pt>
                <c:pt idx="96">
                  <c:v>1.4638099775625164E-6</c:v>
                </c:pt>
                <c:pt idx="97">
                  <c:v>1.6541432222110987E-6</c:v>
                </c:pt>
                <c:pt idx="98">
                  <c:v>1.4065967482910029E-6</c:v>
                </c:pt>
                <c:pt idx="99">
                  <c:v>1.8869304653363125E-6</c:v>
                </c:pt>
                <c:pt idx="100">
                  <c:v>1.4275715821222056E-6</c:v>
                </c:pt>
                <c:pt idx="101">
                  <c:v>1.6907201674625746E-6</c:v>
                </c:pt>
                <c:pt idx="102">
                  <c:v>1.9605668467867845E-6</c:v>
                </c:pt>
                <c:pt idx="103">
                  <c:v>1.7934245193897764E-6</c:v>
                </c:pt>
                <c:pt idx="104">
                  <c:v>1.7051388554245829E-6</c:v>
                </c:pt>
                <c:pt idx="105">
                  <c:v>1.811332084032812E-6</c:v>
                </c:pt>
                <c:pt idx="106">
                  <c:v>2.1364803463405376E-6</c:v>
                </c:pt>
                <c:pt idx="107">
                  <c:v>2.2399841288502048E-6</c:v>
                </c:pt>
                <c:pt idx="108">
                  <c:v>2.0555806040096064E-6</c:v>
                </c:pt>
                <c:pt idx="109">
                  <c:v>2.1535444945533989E-6</c:v>
                </c:pt>
                <c:pt idx="110">
                  <c:v>2.5595231241628771E-6</c:v>
                </c:pt>
                <c:pt idx="111">
                  <c:v>2.1011573130108301E-6</c:v>
                </c:pt>
                <c:pt idx="112">
                  <c:v>1.7055851404541614E-6</c:v>
                </c:pt>
                <c:pt idx="113">
                  <c:v>2.242074418286701E-6</c:v>
                </c:pt>
                <c:pt idx="114">
                  <c:v>2.6340910627840923E-6</c:v>
                </c:pt>
                <c:pt idx="115">
                  <c:v>2.5841874444006093E-6</c:v>
                </c:pt>
                <c:pt idx="116">
                  <c:v>3.0859179576693104E-6</c:v>
                </c:pt>
                <c:pt idx="117">
                  <c:v>2.6843177782127876E-6</c:v>
                </c:pt>
                <c:pt idx="118">
                  <c:v>2.6217962535283409E-6</c:v>
                </c:pt>
                <c:pt idx="119">
                  <c:v>2.8407251683140455E-6</c:v>
                </c:pt>
              </c:numCache>
            </c:numRef>
          </c:yVal>
          <c:smooth val="0"/>
        </c:ser>
        <c:ser>
          <c:idx val="1"/>
          <c:order val="1"/>
          <c:tx>
            <c:v>Apparent Carrier Density</c:v>
          </c:tx>
          <c:spPr>
            <a:ln w="28575">
              <a:noFill/>
            </a:ln>
          </c:spPr>
          <c:marker>
            <c:symbol val="x"/>
            <c:size val="6"/>
            <c:spPr>
              <a:noFill/>
              <a:ln w="12700">
                <a:solidFill>
                  <a:srgbClr val="2004EC"/>
                </a:solidFill>
              </a:ln>
            </c:spPr>
          </c:marker>
          <c:xVal>
            <c:numRef>
              <c:f>Calc!$I$12:$I$131</c:f>
              <c:numCache>
                <c:formatCode>0.00E+00</c:formatCode>
                <c:ptCount val="120"/>
                <c:pt idx="0">
                  <c:v>1384023143857424</c:v>
                </c:pt>
                <c:pt idx="1">
                  <c:v>1322367196618833.2</c:v>
                </c:pt>
                <c:pt idx="2">
                  <c:v>1249615288614097.2</c:v>
                </c:pt>
                <c:pt idx="3">
                  <c:v>1178388243205680</c:v>
                </c:pt>
                <c:pt idx="4">
                  <c:v>1108093752644079.5</c:v>
                </c:pt>
                <c:pt idx="5">
                  <c:v>1041183839619559.1</c:v>
                </c:pt>
                <c:pt idx="6">
                  <c:v>978368144130095.25</c:v>
                </c:pt>
                <c:pt idx="7">
                  <c:v>916991698137804.12</c:v>
                </c:pt>
                <c:pt idx="8">
                  <c:v>860705038298975.37</c:v>
                </c:pt>
                <c:pt idx="9">
                  <c:v>808438784862025.5</c:v>
                </c:pt>
                <c:pt idx="10">
                  <c:v>760615872535374</c:v>
                </c:pt>
                <c:pt idx="11">
                  <c:v>714301263726414.75</c:v>
                </c:pt>
                <c:pt idx="12">
                  <c:v>671113596181405.25</c:v>
                </c:pt>
                <c:pt idx="13">
                  <c:v>631987287110962.62</c:v>
                </c:pt>
                <c:pt idx="14">
                  <c:v>593159100886864.75</c:v>
                </c:pt>
                <c:pt idx="15">
                  <c:v>556814747668234.69</c:v>
                </c:pt>
                <c:pt idx="16">
                  <c:v>524565258522314.31</c:v>
                </c:pt>
                <c:pt idx="17">
                  <c:v>493756669006744.94</c:v>
                </c:pt>
                <c:pt idx="18">
                  <c:v>464871884458455.69</c:v>
                </c:pt>
                <c:pt idx="19">
                  <c:v>438028226565760.69</c:v>
                </c:pt>
                <c:pt idx="20">
                  <c:v>411803263592072.56</c:v>
                </c:pt>
                <c:pt idx="21">
                  <c:v>388941289292236.75</c:v>
                </c:pt>
                <c:pt idx="22">
                  <c:v>365913839159867.62</c:v>
                </c:pt>
                <c:pt idx="23">
                  <c:v>344998097970817.44</c:v>
                </c:pt>
                <c:pt idx="24">
                  <c:v>324925326092641.62</c:v>
                </c:pt>
                <c:pt idx="25">
                  <c:v>306452484310061.25</c:v>
                </c:pt>
                <c:pt idx="26">
                  <c:v>289207935739265.19</c:v>
                </c:pt>
                <c:pt idx="27">
                  <c:v>271617616545011.16</c:v>
                </c:pt>
                <c:pt idx="28">
                  <c:v>256561458454549.56</c:v>
                </c:pt>
                <c:pt idx="29">
                  <c:v>241975438867448</c:v>
                </c:pt>
                <c:pt idx="30">
                  <c:v>228173813573934.72</c:v>
                </c:pt>
                <c:pt idx="31">
                  <c:v>215975818402537.47</c:v>
                </c:pt>
                <c:pt idx="32">
                  <c:v>205634178117005.5</c:v>
                </c:pt>
                <c:pt idx="33">
                  <c:v>193567083682902.25</c:v>
                </c:pt>
                <c:pt idx="34">
                  <c:v>183117022051865.12</c:v>
                </c:pt>
                <c:pt idx="35">
                  <c:v>172114120544161.41</c:v>
                </c:pt>
                <c:pt idx="36">
                  <c:v>163444171688454</c:v>
                </c:pt>
                <c:pt idx="37">
                  <c:v>153766956186726.56</c:v>
                </c:pt>
                <c:pt idx="38">
                  <c:v>146487612355281.22</c:v>
                </c:pt>
                <c:pt idx="39">
                  <c:v>137734521344444.28</c:v>
                </c:pt>
                <c:pt idx="40">
                  <c:v>130784840781234.36</c:v>
                </c:pt>
                <c:pt idx="41">
                  <c:v>123113398272654.2</c:v>
                </c:pt>
                <c:pt idx="42">
                  <c:v>117003327740808.47</c:v>
                </c:pt>
                <c:pt idx="43">
                  <c:v>112387323458776.48</c:v>
                </c:pt>
                <c:pt idx="44">
                  <c:v>104786056125410.87</c:v>
                </c:pt>
                <c:pt idx="45">
                  <c:v>100320447687320.59</c:v>
                </c:pt>
                <c:pt idx="46">
                  <c:v>94578344515022.641</c:v>
                </c:pt>
                <c:pt idx="47">
                  <c:v>88418882825678.047</c:v>
                </c:pt>
                <c:pt idx="48">
                  <c:v>85209631425607.297</c:v>
                </c:pt>
                <c:pt idx="49">
                  <c:v>78836265420938.016</c:v>
                </c:pt>
                <c:pt idx="50">
                  <c:v>75022881074222.219</c:v>
                </c:pt>
                <c:pt idx="51">
                  <c:v>72875641270129.312</c:v>
                </c:pt>
                <c:pt idx="52">
                  <c:v>67628386842523.773</c:v>
                </c:pt>
                <c:pt idx="53">
                  <c:v>64310029775413.234</c:v>
                </c:pt>
                <c:pt idx="54">
                  <c:v>60542390994009.344</c:v>
                </c:pt>
                <c:pt idx="55">
                  <c:v>57993901009145.945</c:v>
                </c:pt>
                <c:pt idx="56">
                  <c:v>56243295913538.57</c:v>
                </c:pt>
                <c:pt idx="57">
                  <c:v>53039860911835.219</c:v>
                </c:pt>
                <c:pt idx="58">
                  <c:v>50561494886832.953</c:v>
                </c:pt>
                <c:pt idx="59">
                  <c:v>46842659548503.156</c:v>
                </c:pt>
                <c:pt idx="60">
                  <c:v>44567224207270.328</c:v>
                </c:pt>
                <c:pt idx="61">
                  <c:v>42219139873242.008</c:v>
                </c:pt>
                <c:pt idx="62">
                  <c:v>40820483183495.492</c:v>
                </c:pt>
                <c:pt idx="63">
                  <c:v>37735389012294.234</c:v>
                </c:pt>
                <c:pt idx="64">
                  <c:v>36207171521484.844</c:v>
                </c:pt>
                <c:pt idx="65">
                  <c:v>34846697196519.297</c:v>
                </c:pt>
                <c:pt idx="66">
                  <c:v>31768404369229.223</c:v>
                </c:pt>
                <c:pt idx="67">
                  <c:v>30768723496900.984</c:v>
                </c:pt>
                <c:pt idx="68">
                  <c:v>29281903955985.262</c:v>
                </c:pt>
                <c:pt idx="69">
                  <c:v>28225347634209.418</c:v>
                </c:pt>
                <c:pt idx="70">
                  <c:v>26147115612399.453</c:v>
                </c:pt>
                <c:pt idx="71">
                  <c:v>26359045902355.516</c:v>
                </c:pt>
                <c:pt idx="72">
                  <c:v>23641997419668.133</c:v>
                </c:pt>
                <c:pt idx="73">
                  <c:v>24053179978308.184</c:v>
                </c:pt>
                <c:pt idx="74">
                  <c:v>23442733591886.176</c:v>
                </c:pt>
                <c:pt idx="75">
                  <c:v>21156017140745.316</c:v>
                </c:pt>
                <c:pt idx="76">
                  <c:v>18736608999881.207</c:v>
                </c:pt>
                <c:pt idx="77">
                  <c:v>17721451267114.605</c:v>
                </c:pt>
                <c:pt idx="78">
                  <c:v>18236933029368.414</c:v>
                </c:pt>
                <c:pt idx="79">
                  <c:v>17550679677190.812</c:v>
                </c:pt>
                <c:pt idx="80">
                  <c:v>16573501137025.609</c:v>
                </c:pt>
                <c:pt idx="81">
                  <c:v>15039791537631.945</c:v>
                </c:pt>
                <c:pt idx="82">
                  <c:v>14518027858406.648</c:v>
                </c:pt>
                <c:pt idx="83">
                  <c:v>12914834252620.588</c:v>
                </c:pt>
                <c:pt idx="84">
                  <c:v>13142502683457.309</c:v>
                </c:pt>
                <c:pt idx="85">
                  <c:v>13515628832713.826</c:v>
                </c:pt>
                <c:pt idx="86">
                  <c:v>11460317463466.738</c:v>
                </c:pt>
                <c:pt idx="87">
                  <c:v>12693491225094.637</c:v>
                </c:pt>
                <c:pt idx="88">
                  <c:v>12484797526643.662</c:v>
                </c:pt>
                <c:pt idx="89">
                  <c:v>10897497332527.189</c:v>
                </c:pt>
                <c:pt idx="90">
                  <c:v>10407407798907.189</c:v>
                </c:pt>
                <c:pt idx="91">
                  <c:v>9493644485421.7773</c:v>
                </c:pt>
                <c:pt idx="92">
                  <c:v>8782251956720.3486</c:v>
                </c:pt>
                <c:pt idx="93">
                  <c:v>8583064385565.6006</c:v>
                </c:pt>
                <c:pt idx="94">
                  <c:v>7887496759125.7617</c:v>
                </c:pt>
                <c:pt idx="95">
                  <c:v>8172045644842.2041</c:v>
                </c:pt>
                <c:pt idx="96">
                  <c:v>7220395884827.8486</c:v>
                </c:pt>
                <c:pt idx="97">
                  <c:v>7833748870549.1162</c:v>
                </c:pt>
                <c:pt idx="98">
                  <c:v>6347807313656.8789</c:v>
                </c:pt>
                <c:pt idx="99">
                  <c:v>8175207310848.332</c:v>
                </c:pt>
                <c:pt idx="100">
                  <c:v>5921004832731.415</c:v>
                </c:pt>
                <c:pt idx="101">
                  <c:v>6717706594563.874</c:v>
                </c:pt>
                <c:pt idx="102">
                  <c:v>7448030913128.833</c:v>
                </c:pt>
                <c:pt idx="103">
                  <c:v>6556468012947.0098</c:v>
                </c:pt>
                <c:pt idx="104">
                  <c:v>5921004832731.415</c:v>
                </c:pt>
                <c:pt idx="105">
                  <c:v>6009526442900.166</c:v>
                </c:pt>
                <c:pt idx="106">
                  <c:v>6780937593775.5723</c:v>
                </c:pt>
                <c:pt idx="107">
                  <c:v>6834684024118.4814</c:v>
                </c:pt>
                <c:pt idx="108">
                  <c:v>6006364953345.6895</c:v>
                </c:pt>
                <c:pt idx="109">
                  <c:v>5996880486226.126</c:v>
                </c:pt>
                <c:pt idx="110">
                  <c:v>6812553132020.0996</c:v>
                </c:pt>
                <c:pt idx="111">
                  <c:v>5342457853778.2002</c:v>
                </c:pt>
                <c:pt idx="112">
                  <c:v>4122163005976.998</c:v>
                </c:pt>
                <c:pt idx="113">
                  <c:v>5187547831771.0791</c:v>
                </c:pt>
                <c:pt idx="114">
                  <c:v>5785061324616.1641</c:v>
                </c:pt>
                <c:pt idx="115">
                  <c:v>5427816701624.249</c:v>
                </c:pt>
                <c:pt idx="116">
                  <c:v>6196054782584.2285</c:v>
                </c:pt>
                <c:pt idx="117">
                  <c:v>5149610777803.501</c:v>
                </c:pt>
                <c:pt idx="118">
                  <c:v>4801856178219.4492</c:v>
                </c:pt>
                <c:pt idx="119">
                  <c:v>4934634839308.0254</c:v>
                </c:pt>
              </c:numCache>
            </c:numRef>
          </c:xVal>
          <c:yVal>
            <c:numRef>
              <c:f>Calc!$P$12:$P$131</c:f>
              <c:numCache>
                <c:formatCode>0.00E+00</c:formatCode>
                <c:ptCount val="120"/>
                <c:pt idx="0">
                  <c:v>3.0799149052518582E-6</c:v>
                </c:pt>
                <c:pt idx="1">
                  <c:v>3.0423340225423324E-6</c:v>
                </c:pt>
                <c:pt idx="2">
                  <c:v>3.0225209327005229E-6</c:v>
                </c:pt>
                <c:pt idx="3">
                  <c:v>3.00802443386309E-6</c:v>
                </c:pt>
                <c:pt idx="4">
                  <c:v>2.9877545225338654E-6</c:v>
                </c:pt>
                <c:pt idx="5">
                  <c:v>2.9678459467526309E-6</c:v>
                </c:pt>
                <c:pt idx="6">
                  <c:v>2.9481575802211441E-6</c:v>
                </c:pt>
                <c:pt idx="7">
                  <c:v>2.9233860095902225E-6</c:v>
                </c:pt>
                <c:pt idx="8">
                  <c:v>2.9010397412753669E-6</c:v>
                </c:pt>
                <c:pt idx="9">
                  <c:v>2.8790142077357204E-6</c:v>
                </c:pt>
                <c:pt idx="10">
                  <c:v>2.8613323263219345E-6</c:v>
                </c:pt>
                <c:pt idx="11">
                  <c:v>2.8384063202308244E-6</c:v>
                </c:pt>
                <c:pt idx="12">
                  <c:v>2.8156457803896481E-6</c:v>
                </c:pt>
                <c:pt idx="13">
                  <c:v>2.7985986073029044E-6</c:v>
                </c:pt>
                <c:pt idx="14">
                  <c:v>2.7716286702499275E-6</c:v>
                </c:pt>
                <c:pt idx="15">
                  <c:v>2.7447653372902988E-6</c:v>
                </c:pt>
                <c:pt idx="16">
                  <c:v>2.7275295566822044E-6</c:v>
                </c:pt>
                <c:pt idx="17">
                  <c:v>2.7067562629921005E-6</c:v>
                </c:pt>
                <c:pt idx="18">
                  <c:v>2.6848295650047655E-6</c:v>
                </c:pt>
                <c:pt idx="19">
                  <c:v>2.6649393953787757E-6</c:v>
                </c:pt>
                <c:pt idx="20">
                  <c:v>2.6391617385626852E-6</c:v>
                </c:pt>
                <c:pt idx="21">
                  <c:v>2.6246122082805772E-6</c:v>
                </c:pt>
                <c:pt idx="22">
                  <c:v>2.5998700288841228E-6</c:v>
                </c:pt>
                <c:pt idx="23">
                  <c:v>2.5802234787757104E-6</c:v>
                </c:pt>
                <c:pt idx="24">
                  <c:v>2.5569826242435511E-6</c:v>
                </c:pt>
                <c:pt idx="25">
                  <c:v>2.5376386555102025E-6</c:v>
                </c:pt>
                <c:pt idx="26">
                  <c:v>2.5186560893199197E-6</c:v>
                </c:pt>
                <c:pt idx="27">
                  <c:v>2.4872179346179369E-6</c:v>
                </c:pt>
                <c:pt idx="28">
                  <c:v>2.4694980229580494E-6</c:v>
                </c:pt>
                <c:pt idx="29">
                  <c:v>2.447153433766068E-6</c:v>
                </c:pt>
                <c:pt idx="30">
                  <c:v>2.4251616743853841E-6</c:v>
                </c:pt>
                <c:pt idx="31">
                  <c:v>2.4106951742542968E-6</c:v>
                </c:pt>
                <c:pt idx="32">
                  <c:v>2.4096216319963183E-6</c:v>
                </c:pt>
                <c:pt idx="33">
                  <c:v>2.3822483300092886E-6</c:v>
                </c:pt>
                <c:pt idx="34">
                  <c:v>2.3642290876801801E-6</c:v>
                </c:pt>
                <c:pt idx="35">
                  <c:v>2.331116348298223E-6</c:v>
                </c:pt>
                <c:pt idx="36">
                  <c:v>2.3228173252422041E-6</c:v>
                </c:pt>
                <c:pt idx="37">
                  <c:v>2.2913711281181531E-6</c:v>
                </c:pt>
                <c:pt idx="38">
                  <c:v>2.2885338719655849E-6</c:v>
                </c:pt>
                <c:pt idx="39">
                  <c:v>2.2557812428887243E-6</c:v>
                </c:pt>
                <c:pt idx="40">
                  <c:v>2.2446084117573141E-6</c:v>
                </c:pt>
                <c:pt idx="41">
                  <c:v>2.214495681217051E-6</c:v>
                </c:pt>
                <c:pt idx="42">
                  <c:v>2.2049239641345113E-6</c:v>
                </c:pt>
                <c:pt idx="43">
                  <c:v>2.2178357414027109E-6</c:v>
                </c:pt>
                <c:pt idx="44">
                  <c:v>2.1649706102317223E-6</c:v>
                </c:pt>
                <c:pt idx="45">
                  <c:v>2.1699253116888692E-6</c:v>
                </c:pt>
                <c:pt idx="46">
                  <c:v>2.142293511977571E-6</c:v>
                </c:pt>
                <c:pt idx="47">
                  <c:v>2.095463627403407E-6</c:v>
                </c:pt>
                <c:pt idx="48">
                  <c:v>2.1131209606635668E-6</c:v>
                </c:pt>
                <c:pt idx="49">
                  <c:v>2.0452679287547773E-6</c:v>
                </c:pt>
                <c:pt idx="50">
                  <c:v>2.0358173375232294E-6</c:v>
                </c:pt>
                <c:pt idx="51">
                  <c:v>2.0679376010898707E-6</c:v>
                </c:pt>
                <c:pt idx="52">
                  <c:v>2.007724149818206E-6</c:v>
                </c:pt>
                <c:pt idx="53">
                  <c:v>1.997732600659815E-6</c:v>
                </c:pt>
                <c:pt idx="54">
                  <c:v>1.9657860247356532E-6</c:v>
                </c:pt>
                <c:pt idx="55">
                  <c:v>1.9678716100161008E-6</c:v>
                </c:pt>
                <c:pt idx="56">
                  <c:v>1.9954472354702718E-6</c:v>
                </c:pt>
                <c:pt idx="57">
                  <c:v>1.9658401674932891E-6</c:v>
                </c:pt>
                <c:pt idx="58">
                  <c:v>1.9544355651117906E-6</c:v>
                </c:pt>
                <c:pt idx="59">
                  <c:v>1.8922940953121849E-6</c:v>
                </c:pt>
                <c:pt idx="60">
                  <c:v>1.8804941897757028E-6</c:v>
                </c:pt>
                <c:pt idx="61">
                  <c:v>1.8617963581151736E-6</c:v>
                </c:pt>
                <c:pt idx="62">
                  <c:v>1.8805825390222919E-6</c:v>
                </c:pt>
                <c:pt idx="63">
                  <c:v>1.8155898524336651E-6</c:v>
                </c:pt>
                <c:pt idx="64">
                  <c:v>1.8205933674675162E-6</c:v>
                </c:pt>
                <c:pt idx="65">
                  <c:v>1.8301173902307047E-6</c:v>
                </c:pt>
                <c:pt idx="66">
                  <c:v>1.7418036832746762E-6</c:v>
                </c:pt>
                <c:pt idx="67">
                  <c:v>1.7633093966600264E-6</c:v>
                </c:pt>
                <c:pt idx="68">
                  <c:v>1.7515022913274452E-6</c:v>
                </c:pt>
                <c:pt idx="69">
                  <c:v>1.7624574673100287E-6</c:v>
                </c:pt>
                <c:pt idx="70">
                  <c:v>1.705413294287459E-6</c:v>
                </c:pt>
                <c:pt idx="71">
                  <c:v>1.7950547423196869E-6</c:v>
                </c:pt>
                <c:pt idx="72">
                  <c:v>1.6818371758609652E-6</c:v>
                </c:pt>
                <c:pt idx="73">
                  <c:v>1.7876382472222386E-6</c:v>
                </c:pt>
                <c:pt idx="74">
                  <c:v>1.8176991409158953E-6</c:v>
                </c:pt>
                <c:pt idx="75">
                  <c:v>1.7142690844069461E-6</c:v>
                </c:pt>
                <c:pt idx="76">
                  <c:v>1.5832562957580542E-6</c:v>
                </c:pt>
                <c:pt idx="77">
                  <c:v>1.565396701586719E-6</c:v>
                </c:pt>
                <c:pt idx="78">
                  <c:v>1.6796242992795731E-6</c:v>
                </c:pt>
                <c:pt idx="79">
                  <c:v>1.6885150281167433E-6</c:v>
                </c:pt>
                <c:pt idx="80">
                  <c:v>1.6651522523669785E-6</c:v>
                </c:pt>
                <c:pt idx="81">
                  <c:v>1.5791346928579185E-6</c:v>
                </c:pt>
                <c:pt idx="82">
                  <c:v>1.5924745307558712E-6</c:v>
                </c:pt>
                <c:pt idx="83">
                  <c:v>1.4770842498566162E-6</c:v>
                </c:pt>
                <c:pt idx="84">
                  <c:v>1.5717561574049574E-6</c:v>
                </c:pt>
                <c:pt idx="85">
                  <c:v>1.687621566722467E-6</c:v>
                </c:pt>
                <c:pt idx="86">
                  <c:v>1.4964549212494703E-6</c:v>
                </c:pt>
                <c:pt idx="87">
                  <c:v>1.7289560382414248E-6</c:v>
                </c:pt>
                <c:pt idx="88">
                  <c:v>1.7733680276335554E-6</c:v>
                </c:pt>
                <c:pt idx="89">
                  <c:v>1.622102132325199E-6</c:v>
                </c:pt>
                <c:pt idx="90">
                  <c:v>1.6150087583300292E-6</c:v>
                </c:pt>
                <c:pt idx="91">
                  <c:v>1.5415210569825213E-6</c:v>
                </c:pt>
                <c:pt idx="92">
                  <c:v>1.4893459479598916E-6</c:v>
                </c:pt>
                <c:pt idx="93">
                  <c:v>1.5259385924185163E-6</c:v>
                </c:pt>
                <c:pt idx="94">
                  <c:v>1.4631080423342589E-6</c:v>
                </c:pt>
                <c:pt idx="95">
                  <c:v>1.5806774669204997E-6</c:v>
                </c:pt>
                <c:pt idx="96">
                  <c:v>1.4638099775625164E-6</c:v>
                </c:pt>
                <c:pt idx="97">
                  <c:v>1.6541432222110987E-6</c:v>
                </c:pt>
                <c:pt idx="98">
                  <c:v>1.4065967482910029E-6</c:v>
                </c:pt>
                <c:pt idx="99">
                  <c:v>1.8869304653363125E-6</c:v>
                </c:pt>
                <c:pt idx="100">
                  <c:v>1.4275715821222056E-6</c:v>
                </c:pt>
                <c:pt idx="101">
                  <c:v>1.6907201674625746E-6</c:v>
                </c:pt>
                <c:pt idx="102">
                  <c:v>1.9605668467867845E-6</c:v>
                </c:pt>
                <c:pt idx="103">
                  <c:v>1.7934245193897764E-6</c:v>
                </c:pt>
                <c:pt idx="104">
                  <c:v>1.7051388554245829E-6</c:v>
                </c:pt>
                <c:pt idx="105">
                  <c:v>1.811332084032812E-6</c:v>
                </c:pt>
                <c:pt idx="106">
                  <c:v>2.1364803463405376E-6</c:v>
                </c:pt>
                <c:pt idx="107">
                  <c:v>2.2399841288502048E-6</c:v>
                </c:pt>
                <c:pt idx="108">
                  <c:v>2.0555806040096064E-6</c:v>
                </c:pt>
                <c:pt idx="109">
                  <c:v>2.1535444945533989E-6</c:v>
                </c:pt>
                <c:pt idx="110">
                  <c:v>2.5595231241628771E-6</c:v>
                </c:pt>
                <c:pt idx="111">
                  <c:v>2.1011573130108301E-6</c:v>
                </c:pt>
                <c:pt idx="112">
                  <c:v>1.7055851404541614E-6</c:v>
                </c:pt>
                <c:pt idx="113">
                  <c:v>2.242074418286701E-6</c:v>
                </c:pt>
                <c:pt idx="114">
                  <c:v>2.6340910627840923E-6</c:v>
                </c:pt>
                <c:pt idx="115">
                  <c:v>2.5841874444006093E-6</c:v>
                </c:pt>
                <c:pt idx="116">
                  <c:v>3.0859179576693104E-6</c:v>
                </c:pt>
                <c:pt idx="117">
                  <c:v>2.6843177782127876E-6</c:v>
                </c:pt>
                <c:pt idx="118">
                  <c:v>2.6217962535283409E-6</c:v>
                </c:pt>
                <c:pt idx="119">
                  <c:v>2.8407251683140455E-6</c:v>
                </c:pt>
              </c:numCache>
            </c:numRef>
          </c:yVal>
          <c:smooth val="0"/>
        </c:ser>
        <c:ser>
          <c:idx val="2"/>
          <c:order val="2"/>
          <c:tx>
            <c:v>Specified Carrier Density</c:v>
          </c:tx>
          <c:spPr>
            <a:ln w="28575">
              <a:noFill/>
            </a:ln>
          </c:spPr>
          <c:marker>
            <c:symbol val="diamond"/>
            <c:size val="16"/>
            <c:spPr>
              <a:solidFill>
                <a:srgbClr val="FF0000"/>
              </a:solidFill>
              <a:ln>
                <a:solidFill>
                  <a:srgbClr val="FF0000"/>
                </a:solidFill>
              </a:ln>
            </c:spPr>
          </c:marker>
          <c:xVal>
            <c:numRef>
              <c:f>Calc!$O$6</c:f>
              <c:numCache>
                <c:formatCode>0.00E+00</c:formatCode>
                <c:ptCount val="1"/>
                <c:pt idx="0">
                  <c:v>1000000000000000</c:v>
                </c:pt>
              </c:numCache>
            </c:numRef>
          </c:xVal>
          <c:yVal>
            <c:numRef>
              <c:f>Calc!$S$6</c:f>
              <c:numCache>
                <c:formatCode>0.00E+00</c:formatCode>
                <c:ptCount val="1"/>
                <c:pt idx="0">
                  <c:v>2.945916601750085E-6</c:v>
                </c:pt>
              </c:numCache>
            </c:numRef>
          </c:yVal>
          <c:smooth val="0"/>
        </c:ser>
        <c:dLbls>
          <c:showLegendKey val="0"/>
          <c:showVal val="0"/>
          <c:showCatName val="0"/>
          <c:showSerName val="0"/>
          <c:showPercent val="0"/>
          <c:showBubbleSize val="0"/>
        </c:dLbls>
        <c:axId val="253062144"/>
        <c:axId val="253073664"/>
      </c:scatterChart>
      <c:valAx>
        <c:axId val="253062144"/>
        <c:scaling>
          <c:logBase val="10"/>
          <c:orientation val="minMax"/>
          <c:min val="1000000000000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253073664"/>
        <c:crosses val="autoZero"/>
        <c:crossBetween val="midCat"/>
      </c:valAx>
      <c:valAx>
        <c:axId val="253073664"/>
        <c:scaling>
          <c:orientation val="minMax"/>
          <c:max val="1.307727300262245E-5"/>
          <c:min val="0"/>
        </c:scaling>
        <c:delete val="0"/>
        <c:axPos val="l"/>
        <c:majorGridlines/>
        <c:title>
          <c:tx>
            <c:rich>
              <a:bodyPr rot="-5400000" vert="horz"/>
              <a:lstStyle/>
              <a:p>
                <a:pPr>
                  <a:defRPr sz="1200"/>
                </a:pPr>
                <a:r>
                  <a:rPr lang="en-US" sz="1200"/>
                  <a:t>Minority Carrier Lifetime (seconds)</a:t>
                </a:r>
              </a:p>
            </c:rich>
          </c:tx>
          <c:layout>
            <c:manualLayout>
              <c:xMode val="edge"/>
              <c:yMode val="edge"/>
              <c:x val="3.8090144175614786E-2"/>
              <c:y val="0.13788835539584984"/>
            </c:manualLayout>
          </c:layout>
          <c:overlay val="0"/>
        </c:title>
        <c:numFmt formatCode="0.00E+00" sourceLinked="0"/>
        <c:majorTickMark val="out"/>
        <c:minorTickMark val="none"/>
        <c:tickLblPos val="nextTo"/>
        <c:spPr>
          <a:ln>
            <a:noFill/>
          </a:ln>
        </c:spPr>
        <c:txPr>
          <a:bodyPr/>
          <a:lstStyle/>
          <a:p>
            <a:pPr>
              <a:defRPr b="1"/>
            </a:pPr>
            <a:endParaRPr lang="en-US"/>
          </a:p>
        </c:txPr>
        <c:crossAx val="253062144"/>
        <c:crosses val="autoZero"/>
        <c:crossBetween val="midCat"/>
      </c:valAx>
      <c:spPr>
        <a:ln>
          <a:solidFill>
            <a:sysClr val="windowText" lastClr="000000"/>
          </a:solidFill>
        </a:ln>
      </c:spPr>
    </c:plotArea>
    <c:legend>
      <c:legendPos val="r"/>
      <c:layout>
        <c:manualLayout>
          <c:xMode val="edge"/>
          <c:yMode val="edge"/>
          <c:x val="0.60299169485391568"/>
          <c:y val="0.15382177097091537"/>
          <c:w val="0.27959762005095484"/>
          <c:h val="0.1706503353103502"/>
        </c:manualLayout>
      </c:layout>
      <c:overlay val="1"/>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33" l="0.70000000000000062" r="0.70000000000000062" t="0.750000000000010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Raw Voltages</a:t>
            </a:r>
          </a:p>
        </c:rich>
      </c:tx>
      <c:layout>
        <c:manualLayout>
          <c:xMode val="edge"/>
          <c:yMode val="edge"/>
          <c:x val="0.38567596869611082"/>
          <c:y val="4.1811846689895356E-2"/>
        </c:manualLayout>
      </c:layout>
      <c:overlay val="0"/>
      <c:spPr>
        <a:noFill/>
        <a:ln w="25400">
          <a:noFill/>
        </a:ln>
      </c:spPr>
    </c:title>
    <c:autoTitleDeleted val="0"/>
    <c:plotArea>
      <c:layout>
        <c:manualLayout>
          <c:layoutTarget val="inner"/>
          <c:xMode val="edge"/>
          <c:yMode val="edge"/>
          <c:x val="0.19008315600022599"/>
          <c:y val="0.13937282229964618"/>
          <c:w val="0.64187500504425365"/>
          <c:h val="0.63414634146341464"/>
        </c:manualLayout>
      </c:layout>
      <c:scatterChart>
        <c:scatterStyle val="smoothMarker"/>
        <c:varyColors val="0"/>
        <c:ser>
          <c:idx val="1"/>
          <c:order val="1"/>
          <c:tx>
            <c:v>Light voltage</c:v>
          </c:tx>
          <c:spPr>
            <a:ln w="25400">
              <a:solidFill>
                <a:srgbClr val="0000FF"/>
              </a:solidFill>
              <a:prstDash val="solid"/>
            </a:ln>
          </c:spPr>
          <c:marker>
            <c:symbol val="none"/>
          </c:marker>
          <c:xVal>
            <c:numRef>
              <c:f>Calc!$A$9:$A$133</c:f>
              <c:numCache>
                <c:formatCode>0.00E+00</c:formatCode>
                <c:ptCount val="125"/>
                <c:pt idx="0">
                  <c:v>5.0000000000000002E-5</c:v>
                </c:pt>
                <c:pt idx="1">
                  <c:v>1.4999999999999999E-4</c:v>
                </c:pt>
                <c:pt idx="2">
                  <c:v>2.5000000000000001E-4</c:v>
                </c:pt>
                <c:pt idx="3">
                  <c:v>3.5E-4</c:v>
                </c:pt>
                <c:pt idx="4">
                  <c:v>4.4999999999999999E-4</c:v>
                </c:pt>
                <c:pt idx="5">
                  <c:v>5.5000000000000003E-4</c:v>
                </c:pt>
                <c:pt idx="6">
                  <c:v>6.4999999999999997E-4</c:v>
                </c:pt>
                <c:pt idx="7">
                  <c:v>7.5000000000000002E-4</c:v>
                </c:pt>
                <c:pt idx="8">
                  <c:v>8.4999999999999995E-4</c:v>
                </c:pt>
                <c:pt idx="9">
                  <c:v>9.5E-4</c:v>
                </c:pt>
                <c:pt idx="10">
                  <c:v>1.0499999999999999E-3</c:v>
                </c:pt>
                <c:pt idx="11">
                  <c:v>1.15E-3</c:v>
                </c:pt>
                <c:pt idx="12">
                  <c:v>1.25E-3</c:v>
                </c:pt>
                <c:pt idx="13">
                  <c:v>1.3500000000000001E-3</c:v>
                </c:pt>
                <c:pt idx="14">
                  <c:v>1.4499999999999999E-3</c:v>
                </c:pt>
                <c:pt idx="15">
                  <c:v>1.5499999999999999E-3</c:v>
                </c:pt>
                <c:pt idx="16">
                  <c:v>1.65E-3</c:v>
                </c:pt>
                <c:pt idx="17">
                  <c:v>1.75E-3</c:v>
                </c:pt>
                <c:pt idx="18">
                  <c:v>1.8500000000000001E-3</c:v>
                </c:pt>
                <c:pt idx="19">
                  <c:v>1.9499999999999999E-3</c:v>
                </c:pt>
                <c:pt idx="20">
                  <c:v>2.0500000000000002E-3</c:v>
                </c:pt>
                <c:pt idx="21">
                  <c:v>2.15E-3</c:v>
                </c:pt>
                <c:pt idx="22">
                  <c:v>2.2499999999999998E-3</c:v>
                </c:pt>
                <c:pt idx="23">
                  <c:v>2.3500000000000001E-3</c:v>
                </c:pt>
                <c:pt idx="24">
                  <c:v>2.4499999999999999E-3</c:v>
                </c:pt>
                <c:pt idx="25">
                  <c:v>2.5500000000000002E-3</c:v>
                </c:pt>
                <c:pt idx="26">
                  <c:v>2.65E-3</c:v>
                </c:pt>
                <c:pt idx="27">
                  <c:v>2.7499999999999998E-3</c:v>
                </c:pt>
                <c:pt idx="28">
                  <c:v>2.8500000000000001E-3</c:v>
                </c:pt>
                <c:pt idx="29">
                  <c:v>2.9499999999999999E-3</c:v>
                </c:pt>
                <c:pt idx="30">
                  <c:v>3.0500000000000002E-3</c:v>
                </c:pt>
                <c:pt idx="31">
                  <c:v>3.15E-3</c:v>
                </c:pt>
                <c:pt idx="32">
                  <c:v>3.2499999999999999E-3</c:v>
                </c:pt>
                <c:pt idx="33">
                  <c:v>3.3500000000000001E-3</c:v>
                </c:pt>
                <c:pt idx="34">
                  <c:v>3.4499999999999999E-3</c:v>
                </c:pt>
                <c:pt idx="35">
                  <c:v>3.5500000000000002E-3</c:v>
                </c:pt>
                <c:pt idx="36">
                  <c:v>3.65E-3</c:v>
                </c:pt>
                <c:pt idx="37">
                  <c:v>3.7499999999999999E-3</c:v>
                </c:pt>
                <c:pt idx="38">
                  <c:v>3.8500000000000001E-3</c:v>
                </c:pt>
                <c:pt idx="39">
                  <c:v>3.9500000000000004E-3</c:v>
                </c:pt>
                <c:pt idx="40">
                  <c:v>4.0499999999999998E-3</c:v>
                </c:pt>
                <c:pt idx="41">
                  <c:v>4.15E-3</c:v>
                </c:pt>
                <c:pt idx="42">
                  <c:v>4.2500000000000003E-3</c:v>
                </c:pt>
                <c:pt idx="43">
                  <c:v>4.3499999999999997E-3</c:v>
                </c:pt>
                <c:pt idx="44">
                  <c:v>4.45E-3</c:v>
                </c:pt>
                <c:pt idx="45">
                  <c:v>4.5500000000000002E-3</c:v>
                </c:pt>
                <c:pt idx="46">
                  <c:v>4.6499999999999996E-3</c:v>
                </c:pt>
                <c:pt idx="47">
                  <c:v>4.7499999999999999E-3</c:v>
                </c:pt>
                <c:pt idx="48">
                  <c:v>4.8500000000000001E-3</c:v>
                </c:pt>
                <c:pt idx="49">
                  <c:v>4.9500000000000004E-3</c:v>
                </c:pt>
                <c:pt idx="50">
                  <c:v>5.0499999999999998E-3</c:v>
                </c:pt>
                <c:pt idx="51">
                  <c:v>5.1500000000000001E-3</c:v>
                </c:pt>
                <c:pt idx="52">
                  <c:v>5.2500000000000003E-3</c:v>
                </c:pt>
                <c:pt idx="53">
                  <c:v>5.3499999999999997E-3</c:v>
                </c:pt>
                <c:pt idx="54">
                  <c:v>5.45E-3</c:v>
                </c:pt>
                <c:pt idx="55">
                  <c:v>5.5500000000000002E-3</c:v>
                </c:pt>
                <c:pt idx="56">
                  <c:v>5.6499999999999996E-3</c:v>
                </c:pt>
                <c:pt idx="57">
                  <c:v>5.7499999999999999E-3</c:v>
                </c:pt>
                <c:pt idx="58">
                  <c:v>5.8500000000000002E-3</c:v>
                </c:pt>
                <c:pt idx="59">
                  <c:v>5.9500000000000004E-3</c:v>
                </c:pt>
                <c:pt idx="60">
                  <c:v>6.0499999999999998E-3</c:v>
                </c:pt>
                <c:pt idx="61">
                  <c:v>6.1500000000000001E-3</c:v>
                </c:pt>
                <c:pt idx="62">
                  <c:v>6.2500000000000003E-3</c:v>
                </c:pt>
                <c:pt idx="63">
                  <c:v>6.3499999999999997E-3</c:v>
                </c:pt>
                <c:pt idx="64">
                  <c:v>6.45E-3</c:v>
                </c:pt>
                <c:pt idx="65">
                  <c:v>6.5500000000000003E-3</c:v>
                </c:pt>
                <c:pt idx="66">
                  <c:v>6.6499999999999997E-3</c:v>
                </c:pt>
                <c:pt idx="67">
                  <c:v>6.7499999999999999E-3</c:v>
                </c:pt>
                <c:pt idx="68">
                  <c:v>6.8500000000000002E-3</c:v>
                </c:pt>
                <c:pt idx="69">
                  <c:v>6.9499999999999996E-3</c:v>
                </c:pt>
                <c:pt idx="70">
                  <c:v>7.0499999999999998E-3</c:v>
                </c:pt>
                <c:pt idx="71">
                  <c:v>7.1500000000000001E-3</c:v>
                </c:pt>
                <c:pt idx="72">
                  <c:v>7.2500000000000004E-3</c:v>
                </c:pt>
                <c:pt idx="73">
                  <c:v>7.3499999999999998E-3</c:v>
                </c:pt>
                <c:pt idx="74">
                  <c:v>7.45E-3</c:v>
                </c:pt>
                <c:pt idx="75">
                  <c:v>7.5500000000000003E-3</c:v>
                </c:pt>
                <c:pt idx="76">
                  <c:v>7.6499999999999997E-3</c:v>
                </c:pt>
                <c:pt idx="77">
                  <c:v>7.7499999999999999E-3</c:v>
                </c:pt>
                <c:pt idx="78">
                  <c:v>7.8499999999999993E-3</c:v>
                </c:pt>
                <c:pt idx="79">
                  <c:v>7.9500000000000005E-3</c:v>
                </c:pt>
                <c:pt idx="80">
                  <c:v>8.0499999999999999E-3</c:v>
                </c:pt>
                <c:pt idx="81">
                  <c:v>8.1499999999999993E-3</c:v>
                </c:pt>
                <c:pt idx="82">
                  <c:v>8.2500000000000004E-3</c:v>
                </c:pt>
                <c:pt idx="83">
                  <c:v>8.3499999999999998E-3</c:v>
                </c:pt>
                <c:pt idx="84">
                  <c:v>8.4499999999999992E-3</c:v>
                </c:pt>
                <c:pt idx="85">
                  <c:v>8.5500000000000003E-3</c:v>
                </c:pt>
                <c:pt idx="86">
                  <c:v>8.6499999999999997E-3</c:v>
                </c:pt>
                <c:pt idx="87">
                  <c:v>8.7500000000000008E-3</c:v>
                </c:pt>
                <c:pt idx="88">
                  <c:v>8.8500000000000002E-3</c:v>
                </c:pt>
                <c:pt idx="89">
                  <c:v>8.9499999999999996E-3</c:v>
                </c:pt>
                <c:pt idx="90">
                  <c:v>9.0500000000000008E-3</c:v>
                </c:pt>
                <c:pt idx="91">
                  <c:v>9.1500000000000001E-3</c:v>
                </c:pt>
                <c:pt idx="92">
                  <c:v>9.2499999999999995E-3</c:v>
                </c:pt>
                <c:pt idx="93">
                  <c:v>9.3500000000000007E-3</c:v>
                </c:pt>
                <c:pt idx="94">
                  <c:v>9.4500000000000001E-3</c:v>
                </c:pt>
                <c:pt idx="95">
                  <c:v>9.5499999999999995E-3</c:v>
                </c:pt>
                <c:pt idx="96">
                  <c:v>9.6500000000000006E-3</c:v>
                </c:pt>
                <c:pt idx="97">
                  <c:v>9.75E-3</c:v>
                </c:pt>
                <c:pt idx="98">
                  <c:v>9.8499999999999994E-3</c:v>
                </c:pt>
                <c:pt idx="99">
                  <c:v>9.9500000000000005E-3</c:v>
                </c:pt>
                <c:pt idx="100">
                  <c:v>1.005E-2</c:v>
                </c:pt>
                <c:pt idx="101">
                  <c:v>1.0149999999999999E-2</c:v>
                </c:pt>
                <c:pt idx="102">
                  <c:v>1.025E-2</c:v>
                </c:pt>
                <c:pt idx="103">
                  <c:v>1.035E-2</c:v>
                </c:pt>
                <c:pt idx="104">
                  <c:v>1.0449999999999999E-2</c:v>
                </c:pt>
                <c:pt idx="105">
                  <c:v>1.055E-2</c:v>
                </c:pt>
                <c:pt idx="106">
                  <c:v>1.065E-2</c:v>
                </c:pt>
                <c:pt idx="107">
                  <c:v>1.0749999999999999E-2</c:v>
                </c:pt>
                <c:pt idx="108">
                  <c:v>1.085E-2</c:v>
                </c:pt>
                <c:pt idx="109">
                  <c:v>1.095E-2</c:v>
                </c:pt>
                <c:pt idx="110">
                  <c:v>1.1050000000000001E-2</c:v>
                </c:pt>
                <c:pt idx="111">
                  <c:v>1.115E-2</c:v>
                </c:pt>
                <c:pt idx="112">
                  <c:v>1.125E-2</c:v>
                </c:pt>
                <c:pt idx="113">
                  <c:v>1.1350000000000001E-2</c:v>
                </c:pt>
                <c:pt idx="114">
                  <c:v>1.145E-2</c:v>
                </c:pt>
                <c:pt idx="115">
                  <c:v>1.155E-2</c:v>
                </c:pt>
                <c:pt idx="116">
                  <c:v>1.1650000000000001E-2</c:v>
                </c:pt>
                <c:pt idx="117">
                  <c:v>1.175E-2</c:v>
                </c:pt>
                <c:pt idx="118">
                  <c:v>1.1849999999999999E-2</c:v>
                </c:pt>
                <c:pt idx="119">
                  <c:v>1.1950000000000001E-2</c:v>
                </c:pt>
                <c:pt idx="120">
                  <c:v>1.205E-2</c:v>
                </c:pt>
                <c:pt idx="121">
                  <c:v>1.2149999999999999E-2</c:v>
                </c:pt>
                <c:pt idx="122">
                  <c:v>1.225E-2</c:v>
                </c:pt>
                <c:pt idx="123">
                  <c:v>1.235E-2</c:v>
                </c:pt>
                <c:pt idx="124">
                  <c:v>1.2449999999999999E-2</c:v>
                </c:pt>
              </c:numCache>
            </c:numRef>
          </c:xVal>
          <c:yVal>
            <c:numRef>
              <c:f>Calc!$C$9:$C$133</c:f>
              <c:numCache>
                <c:formatCode>0.0000</c:formatCode>
                <c:ptCount val="125"/>
                <c:pt idx="0">
                  <c:v>0.32536900000000002</c:v>
                </c:pt>
                <c:pt idx="1">
                  <c:v>0.49281199999999997</c:v>
                </c:pt>
                <c:pt idx="2">
                  <c:v>0.55084500000000003</c:v>
                </c:pt>
                <c:pt idx="3">
                  <c:v>0.56709799999999999</c:v>
                </c:pt>
                <c:pt idx="4">
                  <c:v>0.54771800000000004</c:v>
                </c:pt>
                <c:pt idx="5">
                  <c:v>0.52065600000000001</c:v>
                </c:pt>
                <c:pt idx="6">
                  <c:v>0.49328899999999998</c:v>
                </c:pt>
                <c:pt idx="7">
                  <c:v>0.46699299999999999</c:v>
                </c:pt>
                <c:pt idx="8">
                  <c:v>0.44172600000000001</c:v>
                </c:pt>
                <c:pt idx="9">
                  <c:v>0.417846</c:v>
                </c:pt>
                <c:pt idx="10">
                  <c:v>0.39495400000000003</c:v>
                </c:pt>
                <c:pt idx="11">
                  <c:v>0.37357600000000002</c:v>
                </c:pt>
                <c:pt idx="12">
                  <c:v>0.35358699999999998</c:v>
                </c:pt>
                <c:pt idx="13">
                  <c:v>0.334733</c:v>
                </c:pt>
                <c:pt idx="14">
                  <c:v>0.31689699999999998</c:v>
                </c:pt>
                <c:pt idx="15">
                  <c:v>0.30014600000000002</c:v>
                </c:pt>
                <c:pt idx="16">
                  <c:v>0.28437200000000001</c:v>
                </c:pt>
                <c:pt idx="17">
                  <c:v>0.26950299999999999</c:v>
                </c:pt>
                <c:pt idx="18">
                  <c:v>0.255471</c:v>
                </c:pt>
                <c:pt idx="19">
                  <c:v>0.242205</c:v>
                </c:pt>
                <c:pt idx="20">
                  <c:v>0.229737</c:v>
                </c:pt>
                <c:pt idx="21">
                  <c:v>0.21806500000000001</c:v>
                </c:pt>
                <c:pt idx="22">
                  <c:v>0.207012</c:v>
                </c:pt>
                <c:pt idx="23">
                  <c:v>0.196522</c:v>
                </c:pt>
                <c:pt idx="24">
                  <c:v>0.186644</c:v>
                </c:pt>
                <c:pt idx="25">
                  <c:v>0.17726800000000001</c:v>
                </c:pt>
                <c:pt idx="26">
                  <c:v>0.168409</c:v>
                </c:pt>
                <c:pt idx="27">
                  <c:v>0.160057</c:v>
                </c:pt>
                <c:pt idx="28">
                  <c:v>0.15210799999999999</c:v>
                </c:pt>
                <c:pt idx="29">
                  <c:v>0.14463300000000001</c:v>
                </c:pt>
                <c:pt idx="30">
                  <c:v>0.13755500000000001</c:v>
                </c:pt>
                <c:pt idx="31">
                  <c:v>0.13086500000000001</c:v>
                </c:pt>
                <c:pt idx="32">
                  <c:v>0.124558</c:v>
                </c:pt>
                <c:pt idx="33">
                  <c:v>0.11852500000000001</c:v>
                </c:pt>
                <c:pt idx="34">
                  <c:v>0.11286499999999999</c:v>
                </c:pt>
                <c:pt idx="35">
                  <c:v>0.10750999999999999</c:v>
                </c:pt>
                <c:pt idx="36">
                  <c:v>0.10236000000000001</c:v>
                </c:pt>
                <c:pt idx="37">
                  <c:v>9.7571000000000005E-2</c:v>
                </c:pt>
                <c:pt idx="38">
                  <c:v>9.3012999999999998E-2</c:v>
                </c:pt>
                <c:pt idx="39">
                  <c:v>8.8647000000000004E-2</c:v>
                </c:pt>
                <c:pt idx="40">
                  <c:v>8.4544999999999995E-2</c:v>
                </c:pt>
                <c:pt idx="41">
                  <c:v>8.0643000000000006E-2</c:v>
                </c:pt>
                <c:pt idx="42">
                  <c:v>7.6925999999999994E-2</c:v>
                </c:pt>
                <c:pt idx="43">
                  <c:v>7.3408000000000001E-2</c:v>
                </c:pt>
                <c:pt idx="44">
                  <c:v>7.0049E-2</c:v>
                </c:pt>
                <c:pt idx="45">
                  <c:v>6.6860000000000003E-2</c:v>
                </c:pt>
                <c:pt idx="46">
                  <c:v>6.3851000000000005E-2</c:v>
                </c:pt>
                <c:pt idx="47">
                  <c:v>6.0983999999999997E-2</c:v>
                </c:pt>
                <c:pt idx="48">
                  <c:v>5.8247E-2</c:v>
                </c:pt>
                <c:pt idx="49">
                  <c:v>5.5627000000000003E-2</c:v>
                </c:pt>
                <c:pt idx="50">
                  <c:v>5.3162000000000001E-2</c:v>
                </c:pt>
                <c:pt idx="51">
                  <c:v>5.0805999999999997E-2</c:v>
                </c:pt>
                <c:pt idx="52">
                  <c:v>4.8571999999999997E-2</c:v>
                </c:pt>
                <c:pt idx="53">
                  <c:v>4.6434999999999997E-2</c:v>
                </c:pt>
                <c:pt idx="54">
                  <c:v>4.4408999999999997E-2</c:v>
                </c:pt>
                <c:pt idx="55">
                  <c:v>4.2444000000000003E-2</c:v>
                </c:pt>
                <c:pt idx="56">
                  <c:v>4.0562000000000001E-2</c:v>
                </c:pt>
                <c:pt idx="57">
                  <c:v>3.8814000000000001E-2</c:v>
                </c:pt>
                <c:pt idx="58">
                  <c:v>3.7142000000000001E-2</c:v>
                </c:pt>
                <c:pt idx="59">
                  <c:v>3.5524E-2</c:v>
                </c:pt>
                <c:pt idx="60">
                  <c:v>3.4000000000000002E-2</c:v>
                </c:pt>
                <c:pt idx="61">
                  <c:v>3.2597000000000001E-2</c:v>
                </c:pt>
                <c:pt idx="62">
                  <c:v>3.1192000000000001E-2</c:v>
                </c:pt>
                <c:pt idx="63">
                  <c:v>2.9866E-2</c:v>
                </c:pt>
                <c:pt idx="64">
                  <c:v>2.8577999999999999E-2</c:v>
                </c:pt>
                <c:pt idx="65">
                  <c:v>2.7355000000000001E-2</c:v>
                </c:pt>
                <c:pt idx="66">
                  <c:v>2.6193999999999999E-2</c:v>
                </c:pt>
                <c:pt idx="67">
                  <c:v>2.5061E-2</c:v>
                </c:pt>
                <c:pt idx="68">
                  <c:v>2.3996E-2</c:v>
                </c:pt>
                <c:pt idx="69">
                  <c:v>2.2984999999999998E-2</c:v>
                </c:pt>
                <c:pt idx="70">
                  <c:v>2.1992000000000001E-2</c:v>
                </c:pt>
                <c:pt idx="71">
                  <c:v>2.1072E-2</c:v>
                </c:pt>
                <c:pt idx="72">
                  <c:v>2.0187E-2</c:v>
                </c:pt>
                <c:pt idx="73">
                  <c:v>1.9324000000000001E-2</c:v>
                </c:pt>
                <c:pt idx="74">
                  <c:v>1.8509999999999999E-2</c:v>
                </c:pt>
                <c:pt idx="75">
                  <c:v>1.7722999999999999E-2</c:v>
                </c:pt>
                <c:pt idx="76">
                  <c:v>1.6959999999999999E-2</c:v>
                </c:pt>
                <c:pt idx="77">
                  <c:v>1.6253E-2</c:v>
                </c:pt>
                <c:pt idx="78">
                  <c:v>1.5546000000000001E-2</c:v>
                </c:pt>
                <c:pt idx="79">
                  <c:v>1.4911000000000001E-2</c:v>
                </c:pt>
                <c:pt idx="80">
                  <c:v>1.4271000000000001E-2</c:v>
                </c:pt>
                <c:pt idx="81">
                  <c:v>1.3691E-2</c:v>
                </c:pt>
                <c:pt idx="82">
                  <c:v>1.3103E-2</c:v>
                </c:pt>
                <c:pt idx="83">
                  <c:v>1.2543E-2</c:v>
                </c:pt>
                <c:pt idx="84">
                  <c:v>1.2E-2</c:v>
                </c:pt>
                <c:pt idx="85">
                  <c:v>1.1488999999999999E-2</c:v>
                </c:pt>
                <c:pt idx="86">
                  <c:v>1.1024000000000001E-2</c:v>
                </c:pt>
                <c:pt idx="87">
                  <c:v>1.0541E-2</c:v>
                </c:pt>
                <c:pt idx="88">
                  <c:v>1.01E-2</c:v>
                </c:pt>
                <c:pt idx="89">
                  <c:v>9.6579999999999999E-3</c:v>
                </c:pt>
                <c:pt idx="90">
                  <c:v>9.2560000000000003E-3</c:v>
                </c:pt>
                <c:pt idx="91">
                  <c:v>8.8760000000000002E-3</c:v>
                </c:pt>
                <c:pt idx="92">
                  <c:v>8.4639999999999993E-3</c:v>
                </c:pt>
                <c:pt idx="93">
                  <c:v>8.1180000000000002E-3</c:v>
                </c:pt>
                <c:pt idx="94">
                  <c:v>7.7609999999999997E-3</c:v>
                </c:pt>
                <c:pt idx="95">
                  <c:v>7.4310000000000001E-3</c:v>
                </c:pt>
                <c:pt idx="96">
                  <c:v>7.0910000000000001E-3</c:v>
                </c:pt>
                <c:pt idx="97">
                  <c:v>6.796E-3</c:v>
                </c:pt>
                <c:pt idx="98">
                  <c:v>6.5189999999999996E-3</c:v>
                </c:pt>
                <c:pt idx="99">
                  <c:v>6.2179999999999996E-3</c:v>
                </c:pt>
                <c:pt idx="100">
                  <c:v>5.973E-3</c:v>
                </c:pt>
                <c:pt idx="101">
                  <c:v>5.6899999999999997E-3</c:v>
                </c:pt>
                <c:pt idx="102">
                  <c:v>5.4619999999999998E-3</c:v>
                </c:pt>
                <c:pt idx="103">
                  <c:v>5.2329999999999998E-3</c:v>
                </c:pt>
                <c:pt idx="104">
                  <c:v>5.0099999999999997E-3</c:v>
                </c:pt>
                <c:pt idx="105">
                  <c:v>4.7920000000000003E-3</c:v>
                </c:pt>
                <c:pt idx="106">
                  <c:v>4.6080000000000001E-3</c:v>
                </c:pt>
                <c:pt idx="107">
                  <c:v>4.3779999999999999E-3</c:v>
                </c:pt>
                <c:pt idx="108">
                  <c:v>4.1869999999999997E-3</c:v>
                </c:pt>
                <c:pt idx="109">
                  <c:v>4.0049999999999999E-3</c:v>
                </c:pt>
                <c:pt idx="110">
                  <c:v>3.8479999999999999E-3</c:v>
                </c:pt>
                <c:pt idx="111">
                  <c:v>3.6849999999999999E-3</c:v>
                </c:pt>
                <c:pt idx="112">
                  <c:v>3.5100000000000001E-3</c:v>
                </c:pt>
                <c:pt idx="113">
                  <c:v>3.3519999999999999E-3</c:v>
                </c:pt>
                <c:pt idx="114">
                  <c:v>3.202E-3</c:v>
                </c:pt>
                <c:pt idx="115">
                  <c:v>3.0460000000000001E-3</c:v>
                </c:pt>
                <c:pt idx="116">
                  <c:v>2.921E-3</c:v>
                </c:pt>
                <c:pt idx="117">
                  <c:v>2.7759999999999998E-3</c:v>
                </c:pt>
                <c:pt idx="118">
                  <c:v>2.65E-3</c:v>
                </c:pt>
                <c:pt idx="119">
                  <c:v>2.5300000000000001E-3</c:v>
                </c:pt>
                <c:pt idx="120">
                  <c:v>2.4169999999999999E-3</c:v>
                </c:pt>
                <c:pt idx="121">
                  <c:v>2.3050000000000002E-3</c:v>
                </c:pt>
                <c:pt idx="122">
                  <c:v>2.1849999999999999E-3</c:v>
                </c:pt>
                <c:pt idx="123">
                  <c:v>2.0730000000000002E-3</c:v>
                </c:pt>
                <c:pt idx="124">
                  <c:v>1.186E-3</c:v>
                </c:pt>
              </c:numCache>
            </c:numRef>
          </c:yVal>
          <c:smooth val="0"/>
        </c:ser>
        <c:ser>
          <c:idx val="3"/>
          <c:order val="3"/>
          <c:tx>
            <c:v>Ref_Upper</c:v>
          </c:tx>
          <c:spPr>
            <a:ln w="25400">
              <a:solidFill>
                <a:srgbClr val="0000FF"/>
              </a:solidFill>
              <a:prstDash val="sysDash"/>
            </a:ln>
          </c:spPr>
          <c:marker>
            <c:symbol val="none"/>
          </c:marker>
          <c:xVal>
            <c:numRef>
              <c:f>Command!$B$17:$B$18</c:f>
              <c:numCache>
                <c:formatCode>0.00E+00</c:formatCode>
                <c:ptCount val="2"/>
                <c:pt idx="0" formatCode="General">
                  <c:v>0</c:v>
                </c:pt>
                <c:pt idx="1">
                  <c:v>1.2449999999999999E-2</c:v>
                </c:pt>
              </c:numCache>
            </c:numRef>
          </c:xVal>
          <c:yVal>
            <c:numRef>
              <c:f>Command!$E$17:$E$18</c:f>
              <c:numCache>
                <c:formatCode>General</c:formatCode>
                <c:ptCount val="2"/>
                <c:pt idx="0">
                  <c:v>1</c:v>
                </c:pt>
                <c:pt idx="1">
                  <c:v>1</c:v>
                </c:pt>
              </c:numCache>
            </c:numRef>
          </c:yVal>
          <c:smooth val="0"/>
        </c:ser>
        <c:ser>
          <c:idx val="5"/>
          <c:order val="5"/>
          <c:tx>
            <c:v>Ref_Lower</c:v>
          </c:tx>
          <c:spPr>
            <a:ln w="25400">
              <a:solidFill>
                <a:srgbClr val="0000FF"/>
              </a:solidFill>
              <a:prstDash val="sysDash"/>
            </a:ln>
          </c:spPr>
          <c:marker>
            <c:symbol val="none"/>
          </c:marker>
          <c:xVal>
            <c:numRef>
              <c:f>Command!$B$17:$B$18</c:f>
              <c:numCache>
                <c:formatCode>0.00E+00</c:formatCode>
                <c:ptCount val="2"/>
                <c:pt idx="0" formatCode="General">
                  <c:v>0</c:v>
                </c:pt>
                <c:pt idx="1">
                  <c:v>1.2449999999999999E-2</c:v>
                </c:pt>
              </c:numCache>
            </c:numRef>
          </c:xVal>
          <c:yVal>
            <c:numRef>
              <c:f>Command!$F$17:$F$18</c:f>
              <c:numCache>
                <c:formatCode>General</c:formatCode>
                <c:ptCount val="2"/>
                <c:pt idx="0">
                  <c:v>0.4</c:v>
                </c:pt>
                <c:pt idx="1">
                  <c:v>0.4</c:v>
                </c:pt>
              </c:numCache>
            </c:numRef>
          </c:yVal>
          <c:smooth val="1"/>
        </c:ser>
        <c:dLbls>
          <c:showLegendKey val="0"/>
          <c:showVal val="0"/>
          <c:showCatName val="0"/>
          <c:showSerName val="0"/>
          <c:showPercent val="0"/>
          <c:showBubbleSize val="0"/>
        </c:dLbls>
        <c:axId val="358630528"/>
        <c:axId val="358632832"/>
      </c:scatterChart>
      <c:scatterChart>
        <c:scatterStyle val="lineMarker"/>
        <c:varyColors val="0"/>
        <c:ser>
          <c:idx val="0"/>
          <c:order val="0"/>
          <c:tx>
            <c:strRef>
              <c:f>Calc!$B$8</c:f>
              <c:strCache>
                <c:ptCount val="1"/>
                <c:pt idx="0">
                  <c:v>Photovoltage</c:v>
                </c:pt>
              </c:strCache>
            </c:strRef>
          </c:tx>
          <c:spPr>
            <a:ln w="25400">
              <a:solidFill>
                <a:srgbClr val="FF0000"/>
              </a:solidFill>
              <a:prstDash val="solid"/>
            </a:ln>
          </c:spPr>
          <c:marker>
            <c:symbol val="none"/>
          </c:marker>
          <c:xVal>
            <c:numRef>
              <c:f>Calc!$A$9:$A$133</c:f>
              <c:numCache>
                <c:formatCode>0.00E+00</c:formatCode>
                <c:ptCount val="125"/>
                <c:pt idx="0">
                  <c:v>5.0000000000000002E-5</c:v>
                </c:pt>
                <c:pt idx="1">
                  <c:v>1.4999999999999999E-4</c:v>
                </c:pt>
                <c:pt idx="2">
                  <c:v>2.5000000000000001E-4</c:v>
                </c:pt>
                <c:pt idx="3">
                  <c:v>3.5E-4</c:v>
                </c:pt>
                <c:pt idx="4">
                  <c:v>4.4999999999999999E-4</c:v>
                </c:pt>
                <c:pt idx="5">
                  <c:v>5.5000000000000003E-4</c:v>
                </c:pt>
                <c:pt idx="6">
                  <c:v>6.4999999999999997E-4</c:v>
                </c:pt>
                <c:pt idx="7">
                  <c:v>7.5000000000000002E-4</c:v>
                </c:pt>
                <c:pt idx="8">
                  <c:v>8.4999999999999995E-4</c:v>
                </c:pt>
                <c:pt idx="9">
                  <c:v>9.5E-4</c:v>
                </c:pt>
                <c:pt idx="10">
                  <c:v>1.0499999999999999E-3</c:v>
                </c:pt>
                <c:pt idx="11">
                  <c:v>1.15E-3</c:v>
                </c:pt>
                <c:pt idx="12">
                  <c:v>1.25E-3</c:v>
                </c:pt>
                <c:pt idx="13">
                  <c:v>1.3500000000000001E-3</c:v>
                </c:pt>
                <c:pt idx="14">
                  <c:v>1.4499999999999999E-3</c:v>
                </c:pt>
                <c:pt idx="15">
                  <c:v>1.5499999999999999E-3</c:v>
                </c:pt>
                <c:pt idx="16">
                  <c:v>1.65E-3</c:v>
                </c:pt>
                <c:pt idx="17">
                  <c:v>1.75E-3</c:v>
                </c:pt>
                <c:pt idx="18">
                  <c:v>1.8500000000000001E-3</c:v>
                </c:pt>
                <c:pt idx="19">
                  <c:v>1.9499999999999999E-3</c:v>
                </c:pt>
                <c:pt idx="20">
                  <c:v>2.0500000000000002E-3</c:v>
                </c:pt>
                <c:pt idx="21">
                  <c:v>2.15E-3</c:v>
                </c:pt>
                <c:pt idx="22">
                  <c:v>2.2499999999999998E-3</c:v>
                </c:pt>
                <c:pt idx="23">
                  <c:v>2.3500000000000001E-3</c:v>
                </c:pt>
                <c:pt idx="24">
                  <c:v>2.4499999999999999E-3</c:v>
                </c:pt>
                <c:pt idx="25">
                  <c:v>2.5500000000000002E-3</c:v>
                </c:pt>
                <c:pt idx="26">
                  <c:v>2.65E-3</c:v>
                </c:pt>
                <c:pt idx="27">
                  <c:v>2.7499999999999998E-3</c:v>
                </c:pt>
                <c:pt idx="28">
                  <c:v>2.8500000000000001E-3</c:v>
                </c:pt>
                <c:pt idx="29">
                  <c:v>2.9499999999999999E-3</c:v>
                </c:pt>
                <c:pt idx="30">
                  <c:v>3.0500000000000002E-3</c:v>
                </c:pt>
                <c:pt idx="31">
                  <c:v>3.15E-3</c:v>
                </c:pt>
                <c:pt idx="32">
                  <c:v>3.2499999999999999E-3</c:v>
                </c:pt>
                <c:pt idx="33">
                  <c:v>3.3500000000000001E-3</c:v>
                </c:pt>
                <c:pt idx="34">
                  <c:v>3.4499999999999999E-3</c:v>
                </c:pt>
                <c:pt idx="35">
                  <c:v>3.5500000000000002E-3</c:v>
                </c:pt>
                <c:pt idx="36">
                  <c:v>3.65E-3</c:v>
                </c:pt>
                <c:pt idx="37">
                  <c:v>3.7499999999999999E-3</c:v>
                </c:pt>
                <c:pt idx="38">
                  <c:v>3.8500000000000001E-3</c:v>
                </c:pt>
                <c:pt idx="39">
                  <c:v>3.9500000000000004E-3</c:v>
                </c:pt>
                <c:pt idx="40">
                  <c:v>4.0499999999999998E-3</c:v>
                </c:pt>
                <c:pt idx="41">
                  <c:v>4.15E-3</c:v>
                </c:pt>
                <c:pt idx="42">
                  <c:v>4.2500000000000003E-3</c:v>
                </c:pt>
                <c:pt idx="43">
                  <c:v>4.3499999999999997E-3</c:v>
                </c:pt>
                <c:pt idx="44">
                  <c:v>4.45E-3</c:v>
                </c:pt>
                <c:pt idx="45">
                  <c:v>4.5500000000000002E-3</c:v>
                </c:pt>
                <c:pt idx="46">
                  <c:v>4.6499999999999996E-3</c:v>
                </c:pt>
                <c:pt idx="47">
                  <c:v>4.7499999999999999E-3</c:v>
                </c:pt>
                <c:pt idx="48">
                  <c:v>4.8500000000000001E-3</c:v>
                </c:pt>
                <c:pt idx="49">
                  <c:v>4.9500000000000004E-3</c:v>
                </c:pt>
                <c:pt idx="50">
                  <c:v>5.0499999999999998E-3</c:v>
                </c:pt>
                <c:pt idx="51">
                  <c:v>5.1500000000000001E-3</c:v>
                </c:pt>
                <c:pt idx="52">
                  <c:v>5.2500000000000003E-3</c:v>
                </c:pt>
                <c:pt idx="53">
                  <c:v>5.3499999999999997E-3</c:v>
                </c:pt>
                <c:pt idx="54">
                  <c:v>5.45E-3</c:v>
                </c:pt>
                <c:pt idx="55">
                  <c:v>5.5500000000000002E-3</c:v>
                </c:pt>
                <c:pt idx="56">
                  <c:v>5.6499999999999996E-3</c:v>
                </c:pt>
                <c:pt idx="57">
                  <c:v>5.7499999999999999E-3</c:v>
                </c:pt>
                <c:pt idx="58">
                  <c:v>5.8500000000000002E-3</c:v>
                </c:pt>
                <c:pt idx="59">
                  <c:v>5.9500000000000004E-3</c:v>
                </c:pt>
                <c:pt idx="60">
                  <c:v>6.0499999999999998E-3</c:v>
                </c:pt>
                <c:pt idx="61">
                  <c:v>6.1500000000000001E-3</c:v>
                </c:pt>
                <c:pt idx="62">
                  <c:v>6.2500000000000003E-3</c:v>
                </c:pt>
                <c:pt idx="63">
                  <c:v>6.3499999999999997E-3</c:v>
                </c:pt>
                <c:pt idx="64">
                  <c:v>6.45E-3</c:v>
                </c:pt>
                <c:pt idx="65">
                  <c:v>6.5500000000000003E-3</c:v>
                </c:pt>
                <c:pt idx="66">
                  <c:v>6.6499999999999997E-3</c:v>
                </c:pt>
                <c:pt idx="67">
                  <c:v>6.7499999999999999E-3</c:v>
                </c:pt>
                <c:pt idx="68">
                  <c:v>6.8500000000000002E-3</c:v>
                </c:pt>
                <c:pt idx="69">
                  <c:v>6.9499999999999996E-3</c:v>
                </c:pt>
                <c:pt idx="70">
                  <c:v>7.0499999999999998E-3</c:v>
                </c:pt>
                <c:pt idx="71">
                  <c:v>7.1500000000000001E-3</c:v>
                </c:pt>
                <c:pt idx="72">
                  <c:v>7.2500000000000004E-3</c:v>
                </c:pt>
                <c:pt idx="73">
                  <c:v>7.3499999999999998E-3</c:v>
                </c:pt>
                <c:pt idx="74">
                  <c:v>7.45E-3</c:v>
                </c:pt>
                <c:pt idx="75">
                  <c:v>7.5500000000000003E-3</c:v>
                </c:pt>
                <c:pt idx="76">
                  <c:v>7.6499999999999997E-3</c:v>
                </c:pt>
                <c:pt idx="77">
                  <c:v>7.7499999999999999E-3</c:v>
                </c:pt>
                <c:pt idx="78">
                  <c:v>7.8499999999999993E-3</c:v>
                </c:pt>
                <c:pt idx="79">
                  <c:v>7.9500000000000005E-3</c:v>
                </c:pt>
                <c:pt idx="80">
                  <c:v>8.0499999999999999E-3</c:v>
                </c:pt>
                <c:pt idx="81">
                  <c:v>8.1499999999999993E-3</c:v>
                </c:pt>
                <c:pt idx="82">
                  <c:v>8.2500000000000004E-3</c:v>
                </c:pt>
                <c:pt idx="83">
                  <c:v>8.3499999999999998E-3</c:v>
                </c:pt>
                <c:pt idx="84">
                  <c:v>8.4499999999999992E-3</c:v>
                </c:pt>
                <c:pt idx="85">
                  <c:v>8.5500000000000003E-3</c:v>
                </c:pt>
                <c:pt idx="86">
                  <c:v>8.6499999999999997E-3</c:v>
                </c:pt>
                <c:pt idx="87">
                  <c:v>8.7500000000000008E-3</c:v>
                </c:pt>
                <c:pt idx="88">
                  <c:v>8.8500000000000002E-3</c:v>
                </c:pt>
                <c:pt idx="89">
                  <c:v>8.9499999999999996E-3</c:v>
                </c:pt>
                <c:pt idx="90">
                  <c:v>9.0500000000000008E-3</c:v>
                </c:pt>
                <c:pt idx="91">
                  <c:v>9.1500000000000001E-3</c:v>
                </c:pt>
                <c:pt idx="92">
                  <c:v>9.2499999999999995E-3</c:v>
                </c:pt>
                <c:pt idx="93">
                  <c:v>9.3500000000000007E-3</c:v>
                </c:pt>
                <c:pt idx="94">
                  <c:v>9.4500000000000001E-3</c:v>
                </c:pt>
                <c:pt idx="95">
                  <c:v>9.5499999999999995E-3</c:v>
                </c:pt>
                <c:pt idx="96">
                  <c:v>9.6500000000000006E-3</c:v>
                </c:pt>
                <c:pt idx="97">
                  <c:v>9.75E-3</c:v>
                </c:pt>
                <c:pt idx="98">
                  <c:v>9.8499999999999994E-3</c:v>
                </c:pt>
                <c:pt idx="99">
                  <c:v>9.9500000000000005E-3</c:v>
                </c:pt>
                <c:pt idx="100">
                  <c:v>1.005E-2</c:v>
                </c:pt>
                <c:pt idx="101">
                  <c:v>1.0149999999999999E-2</c:v>
                </c:pt>
                <c:pt idx="102">
                  <c:v>1.025E-2</c:v>
                </c:pt>
                <c:pt idx="103">
                  <c:v>1.035E-2</c:v>
                </c:pt>
                <c:pt idx="104">
                  <c:v>1.0449999999999999E-2</c:v>
                </c:pt>
                <c:pt idx="105">
                  <c:v>1.055E-2</c:v>
                </c:pt>
                <c:pt idx="106">
                  <c:v>1.065E-2</c:v>
                </c:pt>
                <c:pt idx="107">
                  <c:v>1.0749999999999999E-2</c:v>
                </c:pt>
                <c:pt idx="108">
                  <c:v>1.085E-2</c:v>
                </c:pt>
                <c:pt idx="109">
                  <c:v>1.095E-2</c:v>
                </c:pt>
                <c:pt idx="110">
                  <c:v>1.1050000000000001E-2</c:v>
                </c:pt>
                <c:pt idx="111">
                  <c:v>1.115E-2</c:v>
                </c:pt>
                <c:pt idx="112">
                  <c:v>1.125E-2</c:v>
                </c:pt>
                <c:pt idx="113">
                  <c:v>1.1350000000000001E-2</c:v>
                </c:pt>
                <c:pt idx="114">
                  <c:v>1.145E-2</c:v>
                </c:pt>
                <c:pt idx="115">
                  <c:v>1.155E-2</c:v>
                </c:pt>
                <c:pt idx="116">
                  <c:v>1.1650000000000001E-2</c:v>
                </c:pt>
                <c:pt idx="117">
                  <c:v>1.175E-2</c:v>
                </c:pt>
                <c:pt idx="118">
                  <c:v>1.1849999999999999E-2</c:v>
                </c:pt>
                <c:pt idx="119">
                  <c:v>1.1950000000000001E-2</c:v>
                </c:pt>
                <c:pt idx="120">
                  <c:v>1.205E-2</c:v>
                </c:pt>
                <c:pt idx="121">
                  <c:v>1.2149999999999999E-2</c:v>
                </c:pt>
                <c:pt idx="122">
                  <c:v>1.225E-2</c:v>
                </c:pt>
                <c:pt idx="123">
                  <c:v>1.235E-2</c:v>
                </c:pt>
                <c:pt idx="124">
                  <c:v>1.2449999999999999E-2</c:v>
                </c:pt>
              </c:numCache>
            </c:numRef>
          </c:xVal>
          <c:yVal>
            <c:numRef>
              <c:f>Calc!$B$9:$B$133</c:f>
              <c:numCache>
                <c:formatCode>0.00E+00</c:formatCode>
                <c:ptCount val="125"/>
                <c:pt idx="0">
                  <c:v>0.20377600000000001</c:v>
                </c:pt>
                <c:pt idx="1">
                  <c:v>0.35769000000000001</c:v>
                </c:pt>
                <c:pt idx="2">
                  <c:v>0.417767</c:v>
                </c:pt>
                <c:pt idx="3">
                  <c:v>0.43029699999999999</c:v>
                </c:pt>
                <c:pt idx="4">
                  <c:v>0.411439</c:v>
                </c:pt>
                <c:pt idx="5">
                  <c:v>0.38915100000000002</c:v>
                </c:pt>
                <c:pt idx="6">
                  <c:v>0.36729200000000001</c:v>
                </c:pt>
                <c:pt idx="7">
                  <c:v>0.34568199999999999</c:v>
                </c:pt>
                <c:pt idx="8">
                  <c:v>0.32507799999999998</c:v>
                </c:pt>
                <c:pt idx="9">
                  <c:v>0.30570399999999998</c:v>
                </c:pt>
                <c:pt idx="10">
                  <c:v>0.28674500000000003</c:v>
                </c:pt>
                <c:pt idx="11">
                  <c:v>0.26933299999999999</c:v>
                </c:pt>
                <c:pt idx="12">
                  <c:v>0.25314300000000001</c:v>
                </c:pt>
                <c:pt idx="13">
                  <c:v>0.238311</c:v>
                </c:pt>
                <c:pt idx="14">
                  <c:v>0.22392999999999999</c:v>
                </c:pt>
                <c:pt idx="15">
                  <c:v>0.210505</c:v>
                </c:pt>
                <c:pt idx="16">
                  <c:v>0.19833000000000001</c:v>
                </c:pt>
                <c:pt idx="17">
                  <c:v>0.18623600000000001</c:v>
                </c:pt>
                <c:pt idx="18">
                  <c:v>0.174905</c:v>
                </c:pt>
                <c:pt idx="19">
                  <c:v>0.16484199999999999</c:v>
                </c:pt>
                <c:pt idx="20">
                  <c:v>0.155221</c:v>
                </c:pt>
                <c:pt idx="21">
                  <c:v>0.14619399999999999</c:v>
                </c:pt>
                <c:pt idx="22">
                  <c:v>0.137799</c:v>
                </c:pt>
                <c:pt idx="23">
                  <c:v>0.12959200000000001</c:v>
                </c:pt>
                <c:pt idx="24">
                  <c:v>0.122433</c:v>
                </c:pt>
                <c:pt idx="25">
                  <c:v>0.115218</c:v>
                </c:pt>
                <c:pt idx="26">
                  <c:v>0.10866099999999999</c:v>
                </c:pt>
                <c:pt idx="27">
                  <c:v>0.102365</c:v>
                </c:pt>
                <c:pt idx="28">
                  <c:v>9.6568000000000001E-2</c:v>
                </c:pt>
                <c:pt idx="29">
                  <c:v>9.1153999999999999E-2</c:v>
                </c:pt>
                <c:pt idx="30">
                  <c:v>8.5628999999999997E-2</c:v>
                </c:pt>
                <c:pt idx="31">
                  <c:v>8.0897999999999998E-2</c:v>
                </c:pt>
                <c:pt idx="32">
                  <c:v>7.6313000000000006E-2</c:v>
                </c:pt>
                <c:pt idx="33">
                  <c:v>7.1972999999999995E-2</c:v>
                </c:pt>
                <c:pt idx="34">
                  <c:v>6.8136000000000002E-2</c:v>
                </c:pt>
                <c:pt idx="35">
                  <c:v>6.4881999999999995E-2</c:v>
                </c:pt>
                <c:pt idx="36">
                  <c:v>6.1083999999999999E-2</c:v>
                </c:pt>
                <c:pt idx="37">
                  <c:v>5.7793999999999998E-2</c:v>
                </c:pt>
                <c:pt idx="38">
                  <c:v>5.4329000000000002E-2</c:v>
                </c:pt>
                <c:pt idx="39">
                  <c:v>5.1597999999999998E-2</c:v>
                </c:pt>
                <c:pt idx="40">
                  <c:v>4.8549000000000002E-2</c:v>
                </c:pt>
                <c:pt idx="41">
                  <c:v>4.6254999999999998E-2</c:v>
                </c:pt>
                <c:pt idx="42">
                  <c:v>4.3496E-2</c:v>
                </c:pt>
                <c:pt idx="43">
                  <c:v>4.1305000000000001E-2</c:v>
                </c:pt>
                <c:pt idx="44">
                  <c:v>3.8885999999999997E-2</c:v>
                </c:pt>
                <c:pt idx="45">
                  <c:v>3.6958999999999999E-2</c:v>
                </c:pt>
                <c:pt idx="46">
                  <c:v>3.5503E-2</c:v>
                </c:pt>
                <c:pt idx="47">
                  <c:v>3.3105000000000002E-2</c:v>
                </c:pt>
                <c:pt idx="48">
                  <c:v>3.1696000000000002E-2</c:v>
                </c:pt>
                <c:pt idx="49">
                  <c:v>2.9884000000000001E-2</c:v>
                </c:pt>
                <c:pt idx="50">
                  <c:v>2.794E-2</c:v>
                </c:pt>
                <c:pt idx="51">
                  <c:v>2.6927E-2</c:v>
                </c:pt>
                <c:pt idx="52">
                  <c:v>2.4915E-2</c:v>
                </c:pt>
                <c:pt idx="53">
                  <c:v>2.3710999999999999E-2</c:v>
                </c:pt>
                <c:pt idx="54">
                  <c:v>2.3033000000000001E-2</c:v>
                </c:pt>
                <c:pt idx="55">
                  <c:v>2.1375999999999999E-2</c:v>
                </c:pt>
                <c:pt idx="56">
                  <c:v>2.0327999999999999E-2</c:v>
                </c:pt>
                <c:pt idx="57">
                  <c:v>1.9137999999999999E-2</c:v>
                </c:pt>
                <c:pt idx="58">
                  <c:v>1.8332999999999999E-2</c:v>
                </c:pt>
                <c:pt idx="59">
                  <c:v>1.7780000000000001E-2</c:v>
                </c:pt>
                <c:pt idx="60">
                  <c:v>1.6768000000000002E-2</c:v>
                </c:pt>
                <c:pt idx="61">
                  <c:v>1.5984999999999999E-2</c:v>
                </c:pt>
                <c:pt idx="62">
                  <c:v>1.481E-2</c:v>
                </c:pt>
                <c:pt idx="63">
                  <c:v>1.4090999999999999E-2</c:v>
                </c:pt>
                <c:pt idx="64">
                  <c:v>1.3349E-2</c:v>
                </c:pt>
                <c:pt idx="65">
                  <c:v>1.2907E-2</c:v>
                </c:pt>
                <c:pt idx="66">
                  <c:v>1.1932E-2</c:v>
                </c:pt>
                <c:pt idx="67">
                  <c:v>1.1449000000000001E-2</c:v>
                </c:pt>
                <c:pt idx="68">
                  <c:v>1.1018999999999999E-2</c:v>
                </c:pt>
                <c:pt idx="69">
                  <c:v>1.0045999999999999E-2</c:v>
                </c:pt>
                <c:pt idx="70">
                  <c:v>9.7300000000000008E-3</c:v>
                </c:pt>
                <c:pt idx="71">
                  <c:v>9.2599999999999991E-3</c:v>
                </c:pt>
                <c:pt idx="72">
                  <c:v>8.9259999999999999E-3</c:v>
                </c:pt>
                <c:pt idx="73">
                  <c:v>8.2690000000000003E-3</c:v>
                </c:pt>
                <c:pt idx="74">
                  <c:v>8.3359999999999997E-3</c:v>
                </c:pt>
                <c:pt idx="75">
                  <c:v>7.4770000000000001E-3</c:v>
                </c:pt>
                <c:pt idx="76">
                  <c:v>7.607E-3</c:v>
                </c:pt>
                <c:pt idx="77">
                  <c:v>7.4139999999999996E-3</c:v>
                </c:pt>
                <c:pt idx="78">
                  <c:v>6.6909999999999999E-3</c:v>
                </c:pt>
                <c:pt idx="79">
                  <c:v>5.9259999999999998E-3</c:v>
                </c:pt>
                <c:pt idx="80">
                  <c:v>5.6049999999999997E-3</c:v>
                </c:pt>
                <c:pt idx="81">
                  <c:v>5.7679999999999997E-3</c:v>
                </c:pt>
                <c:pt idx="82">
                  <c:v>5.5510000000000004E-3</c:v>
                </c:pt>
                <c:pt idx="83">
                  <c:v>5.2420000000000001E-3</c:v>
                </c:pt>
                <c:pt idx="84">
                  <c:v>4.7569999999999999E-3</c:v>
                </c:pt>
                <c:pt idx="85">
                  <c:v>4.5919999999999997E-3</c:v>
                </c:pt>
                <c:pt idx="86">
                  <c:v>4.0850000000000001E-3</c:v>
                </c:pt>
                <c:pt idx="87">
                  <c:v>4.1570000000000001E-3</c:v>
                </c:pt>
                <c:pt idx="88">
                  <c:v>4.2750000000000002E-3</c:v>
                </c:pt>
                <c:pt idx="89">
                  <c:v>3.6250000000000002E-3</c:v>
                </c:pt>
                <c:pt idx="90">
                  <c:v>4.0150000000000003E-3</c:v>
                </c:pt>
                <c:pt idx="91">
                  <c:v>3.9490000000000003E-3</c:v>
                </c:pt>
                <c:pt idx="92">
                  <c:v>3.447E-3</c:v>
                </c:pt>
                <c:pt idx="93">
                  <c:v>3.2919999999999998E-3</c:v>
                </c:pt>
                <c:pt idx="94">
                  <c:v>3.003E-3</c:v>
                </c:pt>
                <c:pt idx="95">
                  <c:v>2.7780000000000001E-3</c:v>
                </c:pt>
                <c:pt idx="96">
                  <c:v>2.715E-3</c:v>
                </c:pt>
                <c:pt idx="97">
                  <c:v>2.4949999999999998E-3</c:v>
                </c:pt>
                <c:pt idx="98">
                  <c:v>2.5850000000000001E-3</c:v>
                </c:pt>
                <c:pt idx="99">
                  <c:v>2.284E-3</c:v>
                </c:pt>
                <c:pt idx="100">
                  <c:v>2.4780000000000002E-3</c:v>
                </c:pt>
                <c:pt idx="101">
                  <c:v>2.0079999999999998E-3</c:v>
                </c:pt>
                <c:pt idx="102">
                  <c:v>2.5860000000000002E-3</c:v>
                </c:pt>
                <c:pt idx="103">
                  <c:v>1.8730000000000001E-3</c:v>
                </c:pt>
                <c:pt idx="104">
                  <c:v>2.1250000000000002E-3</c:v>
                </c:pt>
                <c:pt idx="105">
                  <c:v>2.356E-3</c:v>
                </c:pt>
                <c:pt idx="106">
                  <c:v>2.0739999999999999E-3</c:v>
                </c:pt>
                <c:pt idx="107">
                  <c:v>1.8730000000000001E-3</c:v>
                </c:pt>
                <c:pt idx="108">
                  <c:v>1.9009999999999999E-3</c:v>
                </c:pt>
                <c:pt idx="109">
                  <c:v>2.1450000000000002E-3</c:v>
                </c:pt>
                <c:pt idx="110">
                  <c:v>2.1619999999999999E-3</c:v>
                </c:pt>
                <c:pt idx="111">
                  <c:v>1.9E-3</c:v>
                </c:pt>
                <c:pt idx="112">
                  <c:v>1.897E-3</c:v>
                </c:pt>
                <c:pt idx="113">
                  <c:v>2.1549999999999998E-3</c:v>
                </c:pt>
                <c:pt idx="114">
                  <c:v>1.6900000000000001E-3</c:v>
                </c:pt>
                <c:pt idx="115">
                  <c:v>1.304E-3</c:v>
                </c:pt>
                <c:pt idx="116">
                  <c:v>1.6410000000000001E-3</c:v>
                </c:pt>
                <c:pt idx="117">
                  <c:v>1.83E-3</c:v>
                </c:pt>
                <c:pt idx="118">
                  <c:v>1.717E-3</c:v>
                </c:pt>
                <c:pt idx="119">
                  <c:v>1.9599999999999999E-3</c:v>
                </c:pt>
                <c:pt idx="120">
                  <c:v>1.629E-3</c:v>
                </c:pt>
                <c:pt idx="121">
                  <c:v>1.519E-3</c:v>
                </c:pt>
                <c:pt idx="122">
                  <c:v>1.5610000000000001E-3</c:v>
                </c:pt>
                <c:pt idx="123">
                  <c:v>1.3179999999999999E-3</c:v>
                </c:pt>
                <c:pt idx="124">
                  <c:v>9.3999999999999997E-4</c:v>
                </c:pt>
              </c:numCache>
            </c:numRef>
          </c:yVal>
          <c:smooth val="1"/>
        </c:ser>
        <c:ser>
          <c:idx val="2"/>
          <c:order val="2"/>
          <c:tx>
            <c:v>PC_Upper</c:v>
          </c:tx>
          <c:spPr>
            <a:ln w="25400">
              <a:solidFill>
                <a:srgbClr val="FF0000"/>
              </a:solidFill>
              <a:prstDash val="lgDash"/>
            </a:ln>
          </c:spPr>
          <c:marker>
            <c:symbol val="none"/>
          </c:marker>
          <c:xVal>
            <c:numRef>
              <c:f>Command!$B$17:$B$18</c:f>
              <c:numCache>
                <c:formatCode>0.00E+00</c:formatCode>
                <c:ptCount val="2"/>
                <c:pt idx="0" formatCode="General">
                  <c:v>0</c:v>
                </c:pt>
                <c:pt idx="1">
                  <c:v>1.2449999999999999E-2</c:v>
                </c:pt>
              </c:numCache>
            </c:numRef>
          </c:xVal>
          <c:yVal>
            <c:numRef>
              <c:f>Command!$C$17:$C$18</c:f>
              <c:numCache>
                <c:formatCode>General</c:formatCode>
                <c:ptCount val="2"/>
                <c:pt idx="0">
                  <c:v>0.5</c:v>
                </c:pt>
                <c:pt idx="1">
                  <c:v>0.5</c:v>
                </c:pt>
              </c:numCache>
            </c:numRef>
          </c:yVal>
          <c:smooth val="1"/>
        </c:ser>
        <c:ser>
          <c:idx val="4"/>
          <c:order val="4"/>
          <c:tx>
            <c:v>PC_Lower</c:v>
          </c:tx>
          <c:spPr>
            <a:ln w="25400">
              <a:solidFill>
                <a:srgbClr val="FF0000"/>
              </a:solidFill>
              <a:prstDash val="lgDash"/>
            </a:ln>
          </c:spPr>
          <c:marker>
            <c:symbol val="none"/>
          </c:marker>
          <c:xVal>
            <c:numRef>
              <c:f>Command!$B$17:$B$18</c:f>
              <c:numCache>
                <c:formatCode>0.00E+00</c:formatCode>
                <c:ptCount val="2"/>
                <c:pt idx="0" formatCode="General">
                  <c:v>0</c:v>
                </c:pt>
                <c:pt idx="1">
                  <c:v>1.2449999999999999E-2</c:v>
                </c:pt>
              </c:numCache>
            </c:numRef>
          </c:xVal>
          <c:yVal>
            <c:numRef>
              <c:f>Command!$D$17:$D$18</c:f>
              <c:numCache>
                <c:formatCode>General</c:formatCode>
                <c:ptCount val="2"/>
                <c:pt idx="0">
                  <c:v>0.2</c:v>
                </c:pt>
                <c:pt idx="1">
                  <c:v>0.2</c:v>
                </c:pt>
              </c:numCache>
            </c:numRef>
          </c:yVal>
          <c:smooth val="0"/>
        </c:ser>
        <c:dLbls>
          <c:showLegendKey val="0"/>
          <c:showVal val="0"/>
          <c:showCatName val="0"/>
          <c:showSerName val="0"/>
          <c:showPercent val="0"/>
          <c:showBubbleSize val="0"/>
        </c:dLbls>
        <c:axId val="358651776"/>
        <c:axId val="358653312"/>
      </c:scatterChart>
      <c:valAx>
        <c:axId val="358630528"/>
        <c:scaling>
          <c:orientation val="minMax"/>
        </c:scaling>
        <c:delete val="0"/>
        <c:axPos val="b"/>
        <c:majorGridlines>
          <c:spPr>
            <a:ln w="3175">
              <a:solidFill>
                <a:srgbClr val="80808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Time (s)</a:t>
                </a:r>
              </a:p>
            </c:rich>
          </c:tx>
          <c:layout>
            <c:manualLayout>
              <c:xMode val="edge"/>
              <c:yMode val="edge"/>
              <c:x val="0.44077253565269792"/>
              <c:y val="0.86759581881533165"/>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358632832"/>
        <c:crosses val="autoZero"/>
        <c:crossBetween val="midCat"/>
      </c:valAx>
      <c:valAx>
        <c:axId val="358632832"/>
        <c:scaling>
          <c:orientation val="minMax"/>
          <c:max val="1.05"/>
          <c:min val="0"/>
        </c:scaling>
        <c:delete val="0"/>
        <c:axPos val="l"/>
        <c:majorGridlines>
          <c:spPr>
            <a:ln w="3175">
              <a:solidFill>
                <a:srgbClr val="808080"/>
              </a:solidFill>
              <a:prstDash val="solid"/>
            </a:ln>
          </c:spPr>
        </c:majorGridlines>
        <c:title>
          <c:tx>
            <c:rich>
              <a:bodyPr/>
              <a:lstStyle/>
              <a:p>
                <a:pPr>
                  <a:defRPr sz="975" b="1" i="0" u="none" strike="noStrike" baseline="0">
                    <a:solidFill>
                      <a:srgbClr val="0000FF"/>
                    </a:solidFill>
                    <a:latin typeface="Arial"/>
                    <a:ea typeface="Arial"/>
                    <a:cs typeface="Arial"/>
                  </a:defRPr>
                </a:pPr>
                <a:r>
                  <a:rPr lang="en-US"/>
                  <a:t>light intensity (V)</a:t>
                </a:r>
              </a:p>
            </c:rich>
          </c:tx>
          <c:layout>
            <c:manualLayout>
              <c:xMode val="edge"/>
              <c:yMode val="edge"/>
              <c:x val="2.479345513046426E-2"/>
              <c:y val="0.26480836236935079"/>
            </c:manualLayout>
          </c:layout>
          <c:overlay val="0"/>
          <c:spPr>
            <a:noFill/>
            <a:ln w="25400">
              <a:noFill/>
            </a:ln>
          </c:spPr>
        </c:title>
        <c:numFmt formatCode="General" sourceLinked="0"/>
        <c:majorTickMark val="out"/>
        <c:minorTickMark val="none"/>
        <c:tickLblPos val="nextTo"/>
        <c:spPr>
          <a:ln w="3175">
            <a:solidFill>
              <a:srgbClr val="0000FF"/>
            </a:solidFill>
            <a:prstDash val="solid"/>
          </a:ln>
        </c:spPr>
        <c:txPr>
          <a:bodyPr rot="0" vert="horz"/>
          <a:lstStyle/>
          <a:p>
            <a:pPr>
              <a:defRPr sz="800" b="1" i="0" u="none" strike="noStrike" baseline="0">
                <a:solidFill>
                  <a:srgbClr val="0000FF"/>
                </a:solidFill>
                <a:latin typeface="Arial"/>
                <a:ea typeface="Arial"/>
                <a:cs typeface="Arial"/>
              </a:defRPr>
            </a:pPr>
            <a:endParaRPr lang="en-US"/>
          </a:p>
        </c:txPr>
        <c:crossAx val="358630528"/>
        <c:crosses val="autoZero"/>
        <c:crossBetween val="midCat"/>
      </c:valAx>
      <c:valAx>
        <c:axId val="358651776"/>
        <c:scaling>
          <c:orientation val="minMax"/>
        </c:scaling>
        <c:delete val="1"/>
        <c:axPos val="b"/>
        <c:numFmt formatCode="0.00E+00" sourceLinked="1"/>
        <c:majorTickMark val="out"/>
        <c:minorTickMark val="none"/>
        <c:tickLblPos val="none"/>
        <c:crossAx val="358653312"/>
        <c:crosses val="autoZero"/>
        <c:crossBetween val="midCat"/>
      </c:valAx>
      <c:valAx>
        <c:axId val="358653312"/>
        <c:scaling>
          <c:orientation val="minMax"/>
          <c:max val="0.52500000000000002"/>
          <c:min val="0"/>
        </c:scaling>
        <c:delete val="0"/>
        <c:axPos val="r"/>
        <c:title>
          <c:tx>
            <c:rich>
              <a:bodyPr/>
              <a:lstStyle/>
              <a:p>
                <a:pPr>
                  <a:defRPr sz="975" b="1" i="0" u="none" strike="noStrike" baseline="0">
                    <a:solidFill>
                      <a:srgbClr val="FF0000"/>
                    </a:solidFill>
                    <a:latin typeface="Arial"/>
                    <a:ea typeface="Arial"/>
                    <a:cs typeface="Arial"/>
                  </a:defRPr>
                </a:pPr>
                <a:r>
                  <a:rPr lang="en-US"/>
                  <a:t>photoconductance (V)</a:t>
                </a:r>
              </a:p>
            </c:rich>
          </c:tx>
          <c:layout>
            <c:manualLayout>
              <c:xMode val="edge"/>
              <c:yMode val="edge"/>
              <c:x val="0.91735783982717767"/>
              <c:y val="0.20905923344948274"/>
            </c:manualLayout>
          </c:layout>
          <c:overlay val="0"/>
          <c:spPr>
            <a:noFill/>
            <a:ln w="25400">
              <a:noFill/>
            </a:ln>
          </c:spPr>
        </c:title>
        <c:numFmt formatCode="General" sourceLinked="0"/>
        <c:majorTickMark val="cross"/>
        <c:minorTickMark val="none"/>
        <c:tickLblPos val="nextTo"/>
        <c:spPr>
          <a:ln w="3175">
            <a:solidFill>
              <a:srgbClr val="FF0000"/>
            </a:solidFill>
            <a:prstDash val="solid"/>
          </a:ln>
        </c:spPr>
        <c:txPr>
          <a:bodyPr rot="0" vert="horz"/>
          <a:lstStyle/>
          <a:p>
            <a:pPr>
              <a:defRPr sz="800" b="1" i="0" u="none" strike="noStrike" baseline="0">
                <a:solidFill>
                  <a:srgbClr val="FF0000"/>
                </a:solidFill>
                <a:latin typeface="Arial"/>
                <a:ea typeface="Arial"/>
                <a:cs typeface="Arial"/>
              </a:defRPr>
            </a:pPr>
            <a:endParaRPr lang="en-US"/>
          </a:p>
        </c:txPr>
        <c:crossAx val="358651776"/>
        <c:crosses val="max"/>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000000000001288" r="0.75000000000001288"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strRef>
              <c:f>Calc!$AC$8</c:f>
              <c:strCache>
                <c:ptCount val="1"/>
                <c:pt idx="0">
                  <c:v>Undoped Cond</c:v>
                </c:pt>
              </c:strCache>
            </c:strRef>
          </c:tx>
          <c:spPr>
            <a:ln w="28575">
              <a:noFill/>
            </a:ln>
          </c:spPr>
          <c:trendline>
            <c:trendlineType val="poly"/>
            <c:order val="3"/>
            <c:dispRSqr val="1"/>
            <c:dispEq val="1"/>
            <c:trendlineLbl>
              <c:layout>
                <c:manualLayout>
                  <c:x val="2.6631125477858408E-2"/>
                  <c:y val="-4.5300014581510645E-2"/>
                </c:manualLayout>
              </c:layout>
              <c:numFmt formatCode="General" sourceLinked="0"/>
            </c:trendlineLbl>
          </c:trendline>
          <c:xVal>
            <c:numRef>
              <c:f>Calc!$AA$9:$AA$44</c:f>
              <c:numCache>
                <c:formatCode>0.000</c:formatCode>
                <c:ptCount val="36"/>
                <c:pt idx="0">
                  <c:v>25.323352</c:v>
                </c:pt>
                <c:pt idx="1">
                  <c:v>30.515129000000002</c:v>
                </c:pt>
                <c:pt idx="2">
                  <c:v>35.483528</c:v>
                </c:pt>
                <c:pt idx="3">
                  <c:v>40.489055</c:v>
                </c:pt>
                <c:pt idx="4">
                  <c:v>45.468153999999998</c:v>
                </c:pt>
                <c:pt idx="5">
                  <c:v>50.427007000000003</c:v>
                </c:pt>
                <c:pt idx="6">
                  <c:v>55.451256999999998</c:v>
                </c:pt>
                <c:pt idx="7">
                  <c:v>60.362957000000002</c:v>
                </c:pt>
                <c:pt idx="8">
                  <c:v>65.462629000000007</c:v>
                </c:pt>
                <c:pt idx="9">
                  <c:v>70.449458000000007</c:v>
                </c:pt>
                <c:pt idx="10">
                  <c:v>75.491033000000002</c:v>
                </c:pt>
                <c:pt idx="11">
                  <c:v>80.453337000000005</c:v>
                </c:pt>
                <c:pt idx="12">
                  <c:v>85.428340000000006</c:v>
                </c:pt>
                <c:pt idx="13">
                  <c:v>90.410084999999995</c:v>
                </c:pt>
                <c:pt idx="14">
                  <c:v>95.336296000000004</c:v>
                </c:pt>
                <c:pt idx="15">
                  <c:v>100.36487099999999</c:v>
                </c:pt>
                <c:pt idx="16">
                  <c:v>105.34564899999999</c:v>
                </c:pt>
                <c:pt idx="17">
                  <c:v>110.27310300000001</c:v>
                </c:pt>
                <c:pt idx="18">
                  <c:v>115.26505400000001</c:v>
                </c:pt>
                <c:pt idx="19">
                  <c:v>120.331946</c:v>
                </c:pt>
                <c:pt idx="20">
                  <c:v>125.249932</c:v>
                </c:pt>
                <c:pt idx="21">
                  <c:v>130.32804899999999</c:v>
                </c:pt>
                <c:pt idx="22">
                  <c:v>135.227734</c:v>
                </c:pt>
                <c:pt idx="23">
                  <c:v>140.19493399999999</c:v>
                </c:pt>
                <c:pt idx="24">
                  <c:v>145.283601</c:v>
                </c:pt>
                <c:pt idx="25">
                  <c:v>150.24120099999999</c:v>
                </c:pt>
                <c:pt idx="26">
                  <c:v>155.36827400000001</c:v>
                </c:pt>
                <c:pt idx="27">
                  <c:v>160.099492</c:v>
                </c:pt>
                <c:pt idx="28">
                  <c:v>165.14088899999999</c:v>
                </c:pt>
                <c:pt idx="29">
                  <c:v>170.08024900000001</c:v>
                </c:pt>
                <c:pt idx="30">
                  <c:v>175.165952</c:v>
                </c:pt>
                <c:pt idx="31">
                  <c:v>180.23291699999999</c:v>
                </c:pt>
                <c:pt idx="32">
                  <c:v>185.09920700000001</c:v>
                </c:pt>
                <c:pt idx="33">
                  <c:v>190.13610399999999</c:v>
                </c:pt>
                <c:pt idx="34">
                  <c:v>195.14987500000001</c:v>
                </c:pt>
                <c:pt idx="35" formatCode="General">
                  <c:v>200.36169699999999</c:v>
                </c:pt>
              </c:numCache>
            </c:numRef>
          </c:xVal>
          <c:yVal>
            <c:numRef>
              <c:f>Calc!$AC$9:$AC$44</c:f>
              <c:numCache>
                <c:formatCode>0.00E+00</c:formatCode>
                <c:ptCount val="36"/>
                <c:pt idx="0">
                  <c:v>1.1491822302119629E-3</c:v>
                </c:pt>
                <c:pt idx="1">
                  <c:v>2.2275246863152406E-3</c:v>
                </c:pt>
                <c:pt idx="2">
                  <c:v>3.153237767929808E-3</c:v>
                </c:pt>
                <c:pt idx="3">
                  <c:v>4.0847585973407801E-3</c:v>
                </c:pt>
                <c:pt idx="4">
                  <c:v>4.9934862207706935E-3</c:v>
                </c:pt>
                <c:pt idx="5">
                  <c:v>5.9383886662215443E-3</c:v>
                </c:pt>
                <c:pt idx="6">
                  <c:v>6.8525762619626703E-3</c:v>
                </c:pt>
                <c:pt idx="7">
                  <c:v>7.7126437690080854E-3</c:v>
                </c:pt>
                <c:pt idx="8">
                  <c:v>8.6352569715364338E-3</c:v>
                </c:pt>
                <c:pt idx="9">
                  <c:v>9.4374597876152148E-3</c:v>
                </c:pt>
                <c:pt idx="10">
                  <c:v>1.0246824250894879E-2</c:v>
                </c:pt>
                <c:pt idx="11">
                  <c:v>1.1067204434314989E-2</c:v>
                </c:pt>
                <c:pt idx="12">
                  <c:v>1.1781738103025621E-2</c:v>
                </c:pt>
                <c:pt idx="13">
                  <c:v>1.2503320577711152E-2</c:v>
                </c:pt>
                <c:pt idx="14">
                  <c:v>1.3172089193962733E-2</c:v>
                </c:pt>
                <c:pt idx="15">
                  <c:v>1.38186881337624E-2</c:v>
                </c:pt>
                <c:pt idx="16">
                  <c:v>1.4481357204516794E-2</c:v>
                </c:pt>
                <c:pt idx="17">
                  <c:v>1.509139349822917E-2</c:v>
                </c:pt>
                <c:pt idx="18">
                  <c:v>1.5663111930011964E-2</c:v>
                </c:pt>
                <c:pt idx="19">
                  <c:v>1.6226767185870555E-2</c:v>
                </c:pt>
                <c:pt idx="20">
                  <c:v>1.6717471007890512E-2</c:v>
                </c:pt>
                <c:pt idx="21">
                  <c:v>1.724862305694699E-2</c:v>
                </c:pt>
                <c:pt idx="22">
                  <c:v>1.769835171680826E-2</c:v>
                </c:pt>
                <c:pt idx="23">
                  <c:v>1.8129349004357257E-2</c:v>
                </c:pt>
                <c:pt idx="24">
                  <c:v>1.8562050739775276E-2</c:v>
                </c:pt>
                <c:pt idx="25">
                  <c:v>1.8964809245947192E-2</c:v>
                </c:pt>
                <c:pt idx="26">
                  <c:v>1.9327440052355156E-2</c:v>
                </c:pt>
                <c:pt idx="27">
                  <c:v>1.9646828329543009E-2</c:v>
                </c:pt>
                <c:pt idx="28">
                  <c:v>1.9963344049244127E-2</c:v>
                </c:pt>
                <c:pt idx="29">
                  <c:v>2.0255402860787489E-2</c:v>
                </c:pt>
                <c:pt idx="30">
                  <c:v>2.0471803585117347E-2</c:v>
                </c:pt>
                <c:pt idx="31">
                  <c:v>2.0713794047894626E-2</c:v>
                </c:pt>
                <c:pt idx="32">
                  <c:v>2.0883197193853544E-2</c:v>
                </c:pt>
                <c:pt idx="33">
                  <c:v>2.1035741882485377E-2</c:v>
                </c:pt>
                <c:pt idx="34">
                  <c:v>2.1224490643259999E-2</c:v>
                </c:pt>
                <c:pt idx="35">
                  <c:v>2.1403225367594651E-2</c:v>
                </c:pt>
              </c:numCache>
            </c:numRef>
          </c:yVal>
          <c:smooth val="0"/>
        </c:ser>
        <c:dLbls>
          <c:showLegendKey val="0"/>
          <c:showVal val="0"/>
          <c:showCatName val="0"/>
          <c:showSerName val="0"/>
          <c:showPercent val="0"/>
          <c:showBubbleSize val="0"/>
        </c:dLbls>
        <c:axId val="366854528"/>
        <c:axId val="366856448"/>
      </c:scatterChart>
      <c:valAx>
        <c:axId val="366854528"/>
        <c:scaling>
          <c:orientation val="minMax"/>
        </c:scaling>
        <c:delete val="0"/>
        <c:axPos val="b"/>
        <c:numFmt formatCode="0.000" sourceLinked="1"/>
        <c:majorTickMark val="out"/>
        <c:minorTickMark val="none"/>
        <c:tickLblPos val="nextTo"/>
        <c:crossAx val="366856448"/>
        <c:crosses val="autoZero"/>
        <c:crossBetween val="midCat"/>
      </c:valAx>
      <c:valAx>
        <c:axId val="366856448"/>
        <c:scaling>
          <c:orientation val="minMax"/>
        </c:scaling>
        <c:delete val="0"/>
        <c:axPos val="l"/>
        <c:majorGridlines/>
        <c:numFmt formatCode="0.00E+00" sourceLinked="1"/>
        <c:majorTickMark val="out"/>
        <c:minorTickMark val="none"/>
        <c:tickLblPos val="nextTo"/>
        <c:crossAx val="366854528"/>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 Dependent Lifetime</a:t>
            </a:r>
          </a:p>
        </c:rich>
      </c:tx>
      <c:overlay val="0"/>
    </c:title>
    <c:autoTitleDeleted val="0"/>
    <c:plotArea>
      <c:layout/>
      <c:scatterChart>
        <c:scatterStyle val="lineMarker"/>
        <c:varyColors val="0"/>
        <c:ser>
          <c:idx val="1"/>
          <c:order val="1"/>
          <c:tx>
            <c:strRef>
              <c:f>Plots!$B$1</c:f>
              <c:strCache>
                <c:ptCount val="1"/>
              </c:strCache>
            </c:strRef>
          </c:tx>
          <c:spPr>
            <a:ln w="28575">
              <a:noFill/>
            </a:ln>
          </c:spPr>
          <c:marker>
            <c:symbol val="diamond"/>
            <c:size val="7"/>
            <c:spPr>
              <a:solidFill>
                <a:schemeClr val="accent2">
                  <a:lumMod val="50000"/>
                </a:schemeClr>
              </a:solidFill>
              <a:ln>
                <a:noFill/>
              </a:ln>
            </c:spPr>
          </c:marker>
          <c:xVal>
            <c:numRef>
              <c:f>Plots!$B$3:$B$127</c:f>
              <c:numCache>
                <c:formatCode>General</c:formatCode>
                <c:ptCount val="125"/>
              </c:numCache>
            </c:numRef>
          </c:xVal>
          <c:yVal>
            <c:numRef>
              <c:f>Plots!$C$3:$C$127</c:f>
              <c:numCache>
                <c:formatCode>General</c:formatCode>
                <c:ptCount val="125"/>
              </c:numCache>
            </c:numRef>
          </c:yVal>
          <c:smooth val="0"/>
        </c:ser>
        <c:ser>
          <c:idx val="2"/>
          <c:order val="2"/>
          <c:tx>
            <c:strRef>
              <c:f>Plots!$D$1</c:f>
              <c:strCache>
                <c:ptCount val="1"/>
              </c:strCache>
            </c:strRef>
          </c:tx>
          <c:spPr>
            <a:ln w="28575">
              <a:noFill/>
            </a:ln>
          </c:spPr>
          <c:marker>
            <c:symbol val="diamond"/>
            <c:size val="7"/>
            <c:spPr>
              <a:solidFill>
                <a:srgbClr val="C00000"/>
              </a:solidFill>
              <a:ln>
                <a:noFill/>
              </a:ln>
            </c:spPr>
          </c:marker>
          <c:xVal>
            <c:numRef>
              <c:f>Plots!$D$3:$D$127</c:f>
              <c:numCache>
                <c:formatCode>General</c:formatCode>
                <c:ptCount val="125"/>
              </c:numCache>
            </c:numRef>
          </c:xVal>
          <c:yVal>
            <c:numRef>
              <c:f>Plots!$E$3:$E$127</c:f>
              <c:numCache>
                <c:formatCode>General</c:formatCode>
                <c:ptCount val="125"/>
              </c:numCache>
            </c:numRef>
          </c:yVal>
          <c:smooth val="0"/>
        </c:ser>
        <c:ser>
          <c:idx val="3"/>
          <c:order val="3"/>
          <c:tx>
            <c:strRef>
              <c:f>Plots!$F$1</c:f>
              <c:strCache>
                <c:ptCount val="1"/>
              </c:strCache>
            </c:strRef>
          </c:tx>
          <c:spPr>
            <a:ln w="28575">
              <a:noFill/>
            </a:ln>
          </c:spPr>
          <c:marker>
            <c:symbol val="diamond"/>
            <c:size val="7"/>
            <c:spPr>
              <a:solidFill>
                <a:srgbClr val="FF0000"/>
              </a:solidFill>
              <a:ln>
                <a:noFill/>
              </a:ln>
            </c:spPr>
          </c:marker>
          <c:xVal>
            <c:numRef>
              <c:f>Plots!$F$3:$F$127</c:f>
              <c:numCache>
                <c:formatCode>General</c:formatCode>
                <c:ptCount val="125"/>
              </c:numCache>
            </c:numRef>
          </c:xVal>
          <c:yVal>
            <c:numRef>
              <c:f>Plots!$G$3:$G$127</c:f>
              <c:numCache>
                <c:formatCode>General</c:formatCode>
                <c:ptCount val="125"/>
              </c:numCache>
            </c:numRef>
          </c:yVal>
          <c:smooth val="0"/>
        </c:ser>
        <c:ser>
          <c:idx val="4"/>
          <c:order val="4"/>
          <c:tx>
            <c:strRef>
              <c:f>Plots!$H$1</c:f>
              <c:strCache>
                <c:ptCount val="1"/>
              </c:strCache>
            </c:strRef>
          </c:tx>
          <c:spPr>
            <a:ln w="28575">
              <a:noFill/>
            </a:ln>
          </c:spPr>
          <c:marker>
            <c:symbol val="diamond"/>
            <c:size val="7"/>
            <c:spPr>
              <a:solidFill>
                <a:schemeClr val="accent6">
                  <a:lumMod val="75000"/>
                </a:schemeClr>
              </a:solidFill>
              <a:ln>
                <a:noFill/>
              </a:ln>
            </c:spPr>
          </c:marker>
          <c:xVal>
            <c:numRef>
              <c:f>Plots!$H$3:$H$127</c:f>
              <c:numCache>
                <c:formatCode>General</c:formatCode>
                <c:ptCount val="125"/>
              </c:numCache>
            </c:numRef>
          </c:xVal>
          <c:yVal>
            <c:numRef>
              <c:f>Plots!$I$3:$I$127</c:f>
              <c:numCache>
                <c:formatCode>General</c:formatCode>
                <c:ptCount val="125"/>
              </c:numCache>
            </c:numRef>
          </c:yVal>
          <c:smooth val="0"/>
        </c:ser>
        <c:ser>
          <c:idx val="5"/>
          <c:order val="5"/>
          <c:tx>
            <c:strRef>
              <c:f>Plots!$J$1</c:f>
              <c:strCache>
                <c:ptCount val="1"/>
              </c:strCache>
            </c:strRef>
          </c:tx>
          <c:spPr>
            <a:ln w="28575">
              <a:noFill/>
            </a:ln>
          </c:spPr>
          <c:marker>
            <c:symbol val="diamond"/>
            <c:size val="7"/>
            <c:spPr>
              <a:solidFill>
                <a:srgbClr val="FFC000"/>
              </a:solidFill>
              <a:ln>
                <a:noFill/>
              </a:ln>
            </c:spPr>
          </c:marker>
          <c:xVal>
            <c:numRef>
              <c:f>Plots!$J$3:$J$127</c:f>
              <c:numCache>
                <c:formatCode>General</c:formatCode>
                <c:ptCount val="125"/>
              </c:numCache>
            </c:numRef>
          </c:xVal>
          <c:yVal>
            <c:numRef>
              <c:f>Plots!$K$3:$K$127</c:f>
              <c:numCache>
                <c:formatCode>General</c:formatCode>
                <c:ptCount val="125"/>
              </c:numCache>
            </c:numRef>
          </c:yVal>
          <c:smooth val="0"/>
        </c:ser>
        <c:ser>
          <c:idx val="6"/>
          <c:order val="6"/>
          <c:tx>
            <c:strRef>
              <c:f>Plots!$L$1</c:f>
              <c:strCache>
                <c:ptCount val="1"/>
              </c:strCache>
            </c:strRef>
          </c:tx>
          <c:spPr>
            <a:ln w="28575">
              <a:noFill/>
            </a:ln>
          </c:spPr>
          <c:marker>
            <c:symbol val="diamond"/>
            <c:size val="7"/>
            <c:spPr>
              <a:solidFill>
                <a:schemeClr val="accent6">
                  <a:lumMod val="60000"/>
                  <a:lumOff val="40000"/>
                </a:schemeClr>
              </a:solidFill>
              <a:ln>
                <a:noFill/>
              </a:ln>
            </c:spPr>
          </c:marker>
          <c:xVal>
            <c:numRef>
              <c:f>Plots!$L$3:$L$127</c:f>
              <c:numCache>
                <c:formatCode>General</c:formatCode>
                <c:ptCount val="125"/>
              </c:numCache>
            </c:numRef>
          </c:xVal>
          <c:yVal>
            <c:numRef>
              <c:f>Plots!$M$3:$M$127</c:f>
              <c:numCache>
                <c:formatCode>General</c:formatCode>
                <c:ptCount val="125"/>
              </c:numCache>
            </c:numRef>
          </c:yVal>
          <c:smooth val="0"/>
        </c:ser>
        <c:ser>
          <c:idx val="7"/>
          <c:order val="7"/>
          <c:tx>
            <c:strRef>
              <c:f>Plots!$N$1</c:f>
              <c:strCache>
                <c:ptCount val="1"/>
              </c:strCache>
            </c:strRef>
          </c:tx>
          <c:spPr>
            <a:ln w="28575">
              <a:noFill/>
            </a:ln>
          </c:spPr>
          <c:marker>
            <c:symbol val="diamond"/>
            <c:size val="7"/>
            <c:spPr>
              <a:solidFill>
                <a:srgbClr val="FFFF00"/>
              </a:solidFill>
              <a:ln>
                <a:noFill/>
              </a:ln>
            </c:spPr>
          </c:marker>
          <c:xVal>
            <c:numRef>
              <c:f>Plots!$N$3:$N$127</c:f>
              <c:numCache>
                <c:formatCode>General</c:formatCode>
                <c:ptCount val="125"/>
              </c:numCache>
            </c:numRef>
          </c:xVal>
          <c:yVal>
            <c:numRef>
              <c:f>Plots!$O$3:$O$127</c:f>
              <c:numCache>
                <c:formatCode>General</c:formatCode>
                <c:ptCount val="125"/>
              </c:numCache>
            </c:numRef>
          </c:yVal>
          <c:smooth val="0"/>
        </c:ser>
        <c:ser>
          <c:idx val="8"/>
          <c:order val="8"/>
          <c:tx>
            <c:strRef>
              <c:f>Plots!$P$1</c:f>
              <c:strCache>
                <c:ptCount val="1"/>
              </c:strCache>
            </c:strRef>
          </c:tx>
          <c:spPr>
            <a:ln w="28575">
              <a:noFill/>
            </a:ln>
          </c:spPr>
          <c:marker>
            <c:symbol val="diamond"/>
            <c:size val="7"/>
            <c:spPr>
              <a:solidFill>
                <a:schemeClr val="accent3">
                  <a:lumMod val="60000"/>
                  <a:lumOff val="40000"/>
                </a:schemeClr>
              </a:solidFill>
              <a:ln>
                <a:noFill/>
              </a:ln>
            </c:spPr>
          </c:marker>
          <c:xVal>
            <c:numRef>
              <c:f>Plots!$P$3:$P$127</c:f>
              <c:numCache>
                <c:formatCode>General</c:formatCode>
                <c:ptCount val="125"/>
              </c:numCache>
            </c:numRef>
          </c:xVal>
          <c:yVal>
            <c:numRef>
              <c:f>Plots!$Q$3:$Q$127</c:f>
              <c:numCache>
                <c:formatCode>General</c:formatCode>
                <c:ptCount val="125"/>
              </c:numCache>
            </c:numRef>
          </c:yVal>
          <c:smooth val="0"/>
        </c:ser>
        <c:ser>
          <c:idx val="9"/>
          <c:order val="9"/>
          <c:tx>
            <c:strRef>
              <c:f>Plots!$R$1</c:f>
              <c:strCache>
                <c:ptCount val="1"/>
              </c:strCache>
            </c:strRef>
          </c:tx>
          <c:spPr>
            <a:ln w="28575">
              <a:noFill/>
            </a:ln>
          </c:spPr>
          <c:marker>
            <c:spPr>
              <a:solidFill>
                <a:srgbClr val="92D050"/>
              </a:solidFill>
              <a:ln>
                <a:noFill/>
              </a:ln>
            </c:spPr>
          </c:marker>
          <c:xVal>
            <c:numRef>
              <c:f>Plots!$R$3:$R$127</c:f>
              <c:numCache>
                <c:formatCode>General</c:formatCode>
                <c:ptCount val="125"/>
              </c:numCache>
            </c:numRef>
          </c:xVal>
          <c:yVal>
            <c:numRef>
              <c:f>Plots!$S$3:$S$127</c:f>
              <c:numCache>
                <c:formatCode>General</c:formatCode>
                <c:ptCount val="125"/>
              </c:numCache>
            </c:numRef>
          </c:yVal>
          <c:smooth val="0"/>
        </c:ser>
        <c:ser>
          <c:idx val="10"/>
          <c:order val="10"/>
          <c:tx>
            <c:strRef>
              <c:f>Plots!$T$1</c:f>
              <c:strCache>
                <c:ptCount val="1"/>
              </c:strCache>
            </c:strRef>
          </c:tx>
          <c:spPr>
            <a:ln w="28575">
              <a:noFill/>
            </a:ln>
          </c:spPr>
          <c:marker>
            <c:symbol val="diamond"/>
            <c:size val="7"/>
            <c:spPr>
              <a:solidFill>
                <a:srgbClr val="00B050"/>
              </a:solidFill>
              <a:ln>
                <a:noFill/>
              </a:ln>
            </c:spPr>
          </c:marker>
          <c:xVal>
            <c:numRef>
              <c:f>Plots!$T$3:$T$127</c:f>
              <c:numCache>
                <c:formatCode>General</c:formatCode>
                <c:ptCount val="125"/>
              </c:numCache>
            </c:numRef>
          </c:xVal>
          <c:yVal>
            <c:numRef>
              <c:f>Plots!$U$3:$U$127</c:f>
              <c:numCache>
                <c:formatCode>General</c:formatCode>
                <c:ptCount val="125"/>
              </c:numCache>
            </c:numRef>
          </c:yVal>
          <c:smooth val="0"/>
        </c:ser>
        <c:ser>
          <c:idx val="11"/>
          <c:order val="11"/>
          <c:tx>
            <c:strRef>
              <c:f>Plots!$V$1</c:f>
              <c:strCache>
                <c:ptCount val="1"/>
              </c:strCache>
            </c:strRef>
          </c:tx>
          <c:spPr>
            <a:ln w="28575">
              <a:noFill/>
            </a:ln>
          </c:spPr>
          <c:marker>
            <c:symbol val="diamond"/>
            <c:size val="7"/>
            <c:spPr>
              <a:solidFill>
                <a:srgbClr val="00B0F0"/>
              </a:solidFill>
              <a:ln>
                <a:noFill/>
              </a:ln>
            </c:spPr>
          </c:marker>
          <c:xVal>
            <c:numRef>
              <c:f>Plots!$V$3:$V$127</c:f>
              <c:numCache>
                <c:formatCode>General</c:formatCode>
                <c:ptCount val="125"/>
              </c:numCache>
            </c:numRef>
          </c:xVal>
          <c:yVal>
            <c:numRef>
              <c:f>Plots!$W$3:$W$127</c:f>
              <c:numCache>
                <c:formatCode>General</c:formatCode>
                <c:ptCount val="125"/>
              </c:numCache>
            </c:numRef>
          </c:yVal>
          <c:smooth val="0"/>
        </c:ser>
        <c:ser>
          <c:idx val="12"/>
          <c:order val="12"/>
          <c:tx>
            <c:strRef>
              <c:f>Plots!$X$1</c:f>
              <c:strCache>
                <c:ptCount val="1"/>
              </c:strCache>
            </c:strRef>
          </c:tx>
          <c:spPr>
            <a:ln w="28575">
              <a:noFill/>
            </a:ln>
          </c:spPr>
          <c:marker>
            <c:symbol val="diamond"/>
            <c:size val="7"/>
            <c:spPr>
              <a:solidFill>
                <a:schemeClr val="tx2">
                  <a:lumMod val="60000"/>
                  <a:lumOff val="40000"/>
                </a:schemeClr>
              </a:solidFill>
              <a:ln>
                <a:noFill/>
              </a:ln>
            </c:spPr>
          </c:marker>
          <c:xVal>
            <c:numRef>
              <c:f>Plots!$X$3:$X$127</c:f>
              <c:numCache>
                <c:formatCode>General</c:formatCode>
                <c:ptCount val="125"/>
              </c:numCache>
            </c:numRef>
          </c:xVal>
          <c:yVal>
            <c:numRef>
              <c:f>Plots!$Y$3:$Y$127</c:f>
              <c:numCache>
                <c:formatCode>General</c:formatCode>
                <c:ptCount val="125"/>
              </c:numCache>
            </c:numRef>
          </c:yVal>
          <c:smooth val="0"/>
        </c:ser>
        <c:ser>
          <c:idx val="13"/>
          <c:order val="13"/>
          <c:tx>
            <c:strRef>
              <c:f>Plots!$Z$1</c:f>
              <c:strCache>
                <c:ptCount val="1"/>
              </c:strCache>
            </c:strRef>
          </c:tx>
          <c:spPr>
            <a:ln w="28575">
              <a:noFill/>
            </a:ln>
          </c:spPr>
          <c:marker>
            <c:symbol val="diamond"/>
            <c:size val="7"/>
            <c:spPr>
              <a:solidFill>
                <a:srgbClr val="0070C0"/>
              </a:solidFill>
              <a:ln>
                <a:noFill/>
              </a:ln>
            </c:spPr>
          </c:marker>
          <c:xVal>
            <c:numRef>
              <c:f>Plots!$Z$3:$Z$127</c:f>
              <c:numCache>
                <c:formatCode>General</c:formatCode>
                <c:ptCount val="125"/>
              </c:numCache>
            </c:numRef>
          </c:xVal>
          <c:yVal>
            <c:numRef>
              <c:f>Plots!$AA$3:$AA$127</c:f>
              <c:numCache>
                <c:formatCode>General</c:formatCode>
                <c:ptCount val="125"/>
              </c:numCache>
            </c:numRef>
          </c:yVal>
          <c:smooth val="0"/>
        </c:ser>
        <c:ser>
          <c:idx val="14"/>
          <c:order val="14"/>
          <c:tx>
            <c:strRef>
              <c:f>Plots!$AB$1</c:f>
              <c:strCache>
                <c:ptCount val="1"/>
              </c:strCache>
            </c:strRef>
          </c:tx>
          <c:spPr>
            <a:ln w="28575">
              <a:noFill/>
            </a:ln>
          </c:spPr>
          <c:marker>
            <c:symbol val="diamond"/>
            <c:size val="7"/>
            <c:spPr>
              <a:solidFill>
                <a:srgbClr val="7030A0"/>
              </a:solidFill>
              <a:ln>
                <a:noFill/>
              </a:ln>
            </c:spPr>
          </c:marker>
          <c:xVal>
            <c:numRef>
              <c:f>Plots!$AB$3:$AB$127</c:f>
              <c:numCache>
                <c:formatCode>General</c:formatCode>
                <c:ptCount val="125"/>
              </c:numCache>
            </c:numRef>
          </c:xVal>
          <c:yVal>
            <c:numRef>
              <c:f>Plots!$AC$3:$AC$127</c:f>
              <c:numCache>
                <c:formatCode>General</c:formatCode>
                <c:ptCount val="125"/>
              </c:numCache>
            </c:numRef>
          </c:yVal>
          <c:smooth val="0"/>
        </c:ser>
        <c:ser>
          <c:idx val="0"/>
          <c:order val="0"/>
          <c:tx>
            <c:strRef>
              <c:f>Plots!$AD$1</c:f>
              <c:strCache>
                <c:ptCount val="1"/>
              </c:strCache>
            </c:strRef>
          </c:tx>
          <c:spPr>
            <a:ln w="28575">
              <a:noFill/>
            </a:ln>
          </c:spPr>
          <c:marker>
            <c:spPr>
              <a:solidFill>
                <a:schemeClr val="accent4">
                  <a:lumMod val="50000"/>
                </a:schemeClr>
              </a:solidFill>
              <a:ln>
                <a:noFill/>
              </a:ln>
            </c:spPr>
          </c:marker>
          <c:xVal>
            <c:numRef>
              <c:f>Plots!$AD$3:$AD$127</c:f>
              <c:numCache>
                <c:formatCode>General</c:formatCode>
                <c:ptCount val="125"/>
              </c:numCache>
            </c:numRef>
          </c:xVal>
          <c:yVal>
            <c:numRef>
              <c:f>Plots!$AE$3:$AE$127</c:f>
              <c:numCache>
                <c:formatCode>General</c:formatCode>
                <c:ptCount val="125"/>
              </c:numCache>
            </c:numRef>
          </c:yVal>
          <c:smooth val="0"/>
        </c:ser>
        <c:dLbls>
          <c:showLegendKey val="0"/>
          <c:showVal val="0"/>
          <c:showCatName val="0"/>
          <c:showSerName val="0"/>
          <c:showPercent val="0"/>
          <c:showBubbleSize val="0"/>
        </c:dLbls>
        <c:axId val="236279296"/>
        <c:axId val="236285952"/>
      </c:scatterChart>
      <c:valAx>
        <c:axId val="236279296"/>
        <c:scaling>
          <c:logBase val="10"/>
          <c:orientation val="minMax"/>
          <c:min val="10000000000000"/>
        </c:scaling>
        <c:delete val="0"/>
        <c:axPos val="b"/>
        <c:title>
          <c:tx>
            <c:rich>
              <a:bodyPr/>
              <a:lstStyle/>
              <a:p>
                <a:pPr>
                  <a:defRPr/>
                </a:pPr>
                <a:r>
                  <a:rPr lang="en-US"/>
                  <a:t>Minority</a:t>
                </a:r>
                <a:r>
                  <a:rPr lang="en-US" baseline="0"/>
                  <a:t> Carrier Density (cm</a:t>
                </a:r>
                <a:r>
                  <a:rPr lang="en-US" baseline="30000"/>
                  <a:t>-3</a:t>
                </a:r>
                <a:r>
                  <a:rPr lang="en-US" baseline="0"/>
                  <a:t>)</a:t>
                </a:r>
                <a:endParaRPr lang="en-US"/>
              </a:p>
            </c:rich>
          </c:tx>
          <c:overlay val="0"/>
        </c:title>
        <c:numFmt formatCode="General" sourceLinked="1"/>
        <c:majorTickMark val="none"/>
        <c:minorTickMark val="none"/>
        <c:tickLblPos val="nextTo"/>
        <c:crossAx val="236285952"/>
        <c:crosses val="autoZero"/>
        <c:crossBetween val="midCat"/>
      </c:valAx>
      <c:valAx>
        <c:axId val="236285952"/>
        <c:scaling>
          <c:orientation val="minMax"/>
        </c:scaling>
        <c:delete val="0"/>
        <c:axPos val="l"/>
        <c:majorGridlines/>
        <c:title>
          <c:tx>
            <c:rich>
              <a:bodyPr/>
              <a:lstStyle/>
              <a:p>
                <a:pPr>
                  <a:defRPr/>
                </a:pPr>
                <a:r>
                  <a:rPr lang="en-US"/>
                  <a:t>Lifetime (s)</a:t>
                </a:r>
              </a:p>
            </c:rich>
          </c:tx>
          <c:overlay val="0"/>
        </c:title>
        <c:numFmt formatCode="0.00E+00" sourceLinked="0"/>
        <c:majorTickMark val="none"/>
        <c:minorTickMark val="none"/>
        <c:tickLblPos val="nextTo"/>
        <c:crossAx val="23627929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16" fmlaLink="ViewPoint" max="1" min="1" page="1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10</xdr:row>
      <xdr:rowOff>140074</xdr:rowOff>
    </xdr:from>
    <xdr:to>
      <xdr:col>5</xdr:col>
      <xdr:colOff>823912</xdr:colOff>
      <xdr:row>32</xdr:row>
      <xdr:rowOff>141755</xdr:rowOff>
    </xdr:to>
    <xdr:graphicFrame macro="">
      <xdr:nvGraphicFramePr>
        <xdr:cNvPr id="6" name="LightandPC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822388</xdr:colOff>
      <xdr:row>11</xdr:row>
      <xdr:rowOff>2802</xdr:rowOff>
    </xdr:from>
    <xdr:to>
      <xdr:col>12</xdr:col>
      <xdr:colOff>15639</xdr:colOff>
      <xdr:row>32</xdr:row>
      <xdr:rowOff>150895</xdr:rowOff>
    </xdr:to>
    <xdr:graphicFrame macro="">
      <xdr:nvGraphicFramePr>
        <xdr:cNvPr id="7" name="Inv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32</xdr:row>
      <xdr:rowOff>147156</xdr:rowOff>
    </xdr:from>
    <xdr:to>
      <xdr:col>5</xdr:col>
      <xdr:colOff>823912</xdr:colOff>
      <xdr:row>54</xdr:row>
      <xdr:rowOff>137630</xdr:rowOff>
    </xdr:to>
    <xdr:graphicFrame macro="">
      <xdr:nvGraphicFramePr>
        <xdr:cNvPr id="8" name="ImpliedV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813822</xdr:colOff>
      <xdr:row>32</xdr:row>
      <xdr:rowOff>142178</xdr:rowOff>
    </xdr:from>
    <xdr:to>
      <xdr:col>12</xdr:col>
      <xdr:colOff>5878</xdr:colOff>
      <xdr:row>54</xdr:row>
      <xdr:rowOff>132652</xdr:rowOff>
    </xdr:to>
    <xdr:graphicFrame macro="">
      <xdr:nvGraphicFramePr>
        <xdr:cNvPr id="10" name="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724693</xdr:colOff>
      <xdr:row>11</xdr:row>
      <xdr:rowOff>2644</xdr:rowOff>
    </xdr:from>
    <xdr:to>
      <xdr:col>8</xdr:col>
      <xdr:colOff>438943</xdr:colOff>
      <xdr:row>32</xdr:row>
      <xdr:rowOff>10847</xdr:rowOff>
    </xdr:to>
    <xdr:graphicFrame macro="">
      <xdr:nvGraphicFramePr>
        <xdr:cNvPr id="51287" name="RawVoltageGraph"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mc:AlternateContent xmlns:mc="http://schemas.openxmlformats.org/markup-compatibility/2006">
    <mc:Choice xmlns:a14="http://schemas.microsoft.com/office/drawing/2010/main" Requires="a14">
      <xdr:twoCellAnchor editAs="absolute">
        <xdr:from>
          <xdr:col>12</xdr:col>
          <xdr:colOff>104775</xdr:colOff>
          <xdr:row>11</xdr:row>
          <xdr:rowOff>28575</xdr:rowOff>
        </xdr:from>
        <xdr:to>
          <xdr:col>13</xdr:col>
          <xdr:colOff>0</xdr:colOff>
          <xdr:row>13</xdr:row>
          <xdr:rowOff>104775</xdr:rowOff>
        </xdr:to>
        <xdr:sp macro="" textlink="">
          <xdr:nvSpPr>
            <xdr:cNvPr id="51299" name="Button 99" hidden="1">
              <a:extLst>
                <a:ext uri="{63B3BB69-23CF-44E3-9099-C40C66FF867C}">
                  <a14:compatExt spid="_x0000_s51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33</xdr:row>
          <xdr:rowOff>28575</xdr:rowOff>
        </xdr:from>
        <xdr:to>
          <xdr:col>12</xdr:col>
          <xdr:colOff>733425</xdr:colOff>
          <xdr:row>35</xdr:row>
          <xdr:rowOff>114300</xdr:rowOff>
        </xdr:to>
        <xdr:sp macro="" textlink="">
          <xdr:nvSpPr>
            <xdr:cNvPr id="51300" name="Button 100" hidden="1">
              <a:extLst>
                <a:ext uri="{63B3BB69-23CF-44E3-9099-C40C66FF867C}">
                  <a14:compatExt spid="_x0000_s5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0</xdr:row>
          <xdr:rowOff>104775</xdr:rowOff>
        </xdr:from>
        <xdr:to>
          <xdr:col>9</xdr:col>
          <xdr:colOff>381000</xdr:colOff>
          <xdr:row>2</xdr:row>
          <xdr:rowOff>85725</xdr:rowOff>
        </xdr:to>
        <xdr:sp macro="" textlink="">
          <xdr:nvSpPr>
            <xdr:cNvPr id="51322" name="Spinner 122" hidden="1">
              <a:extLst>
                <a:ext uri="{63B3BB69-23CF-44E3-9099-C40C66FF867C}">
                  <a14:compatExt spid="_x0000_s51322"/>
                </a:ext>
              </a:extLst>
            </xdr:cNvPr>
            <xdr:cNvSpPr/>
          </xdr:nvSpPr>
          <xdr:spPr>
            <a:xfrm>
              <a:off x="0" y="0"/>
              <a:ext cx="0" cy="0"/>
            </a:xfrm>
            <a:prstGeom prst="rect">
              <a:avLst/>
            </a:prstGeom>
          </xdr:spPr>
        </xdr:sp>
        <xdr:clientData/>
      </xdr:twoCellAnchor>
    </mc:Choice>
    <mc:Fallback/>
  </mc:AlternateContent>
  <xdr:twoCellAnchor editAs="oneCell">
    <xdr:from>
      <xdr:col>9</xdr:col>
      <xdr:colOff>448235</xdr:colOff>
      <xdr:row>0</xdr:row>
      <xdr:rowOff>67236</xdr:rowOff>
    </xdr:from>
    <xdr:to>
      <xdr:col>11</xdr:col>
      <xdr:colOff>124722</xdr:colOff>
      <xdr:row>3</xdr:row>
      <xdr:rowOff>22411</xdr:rowOff>
    </xdr:to>
    <xdr:pic>
      <xdr:nvPicPr>
        <xdr:cNvPr id="1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3441" y="67236"/>
          <a:ext cx="1559075" cy="537881"/>
        </a:xfrm>
        <a:prstGeom prst="rect">
          <a:avLst/>
        </a:prstGeom>
      </xdr:spPr>
    </xdr:pic>
    <xdr:clientData/>
  </xdr:twoCellAnchor>
  <xdr:twoCellAnchor>
    <xdr:from>
      <xdr:col>0</xdr:col>
      <xdr:colOff>33618</xdr:colOff>
      <xdr:row>0</xdr:row>
      <xdr:rowOff>44817</xdr:rowOff>
    </xdr:from>
    <xdr:to>
      <xdr:col>1</xdr:col>
      <xdr:colOff>488756</xdr:colOff>
      <xdr:row>2</xdr:row>
      <xdr:rowOff>182963</xdr:rowOff>
    </xdr:to>
    <xdr:sp macro="[0]!ZeroInstrumentButton_Click" textlink="">
      <xdr:nvSpPr>
        <xdr:cNvPr id="17" name="Rectangle 16"/>
        <xdr:cNvSpPr/>
      </xdr:nvSpPr>
      <xdr:spPr>
        <a:xfrm>
          <a:off x="33618"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Zero Instrument</a:t>
          </a:r>
          <a:endParaRPr lang="en-US" sz="1200" b="1">
            <a:solidFill>
              <a:sysClr val="windowText" lastClr="000000"/>
            </a:solidFill>
          </a:endParaRPr>
        </a:p>
      </xdr:txBody>
    </xdr:sp>
    <xdr:clientData/>
  </xdr:twoCellAnchor>
  <xdr:twoCellAnchor>
    <xdr:from>
      <xdr:col>1</xdr:col>
      <xdr:colOff>560295</xdr:colOff>
      <xdr:row>0</xdr:row>
      <xdr:rowOff>44817</xdr:rowOff>
    </xdr:from>
    <xdr:to>
      <xdr:col>3</xdr:col>
      <xdr:colOff>118963</xdr:colOff>
      <xdr:row>2</xdr:row>
      <xdr:rowOff>182963</xdr:rowOff>
    </xdr:to>
    <xdr:sp macro="[0]!MeasureButton_Click" textlink="">
      <xdr:nvSpPr>
        <xdr:cNvPr id="18" name="Rectangle 17"/>
        <xdr:cNvSpPr/>
      </xdr:nvSpPr>
      <xdr:spPr>
        <a:xfrm>
          <a:off x="1714501"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Measure Wafer</a:t>
          </a:r>
          <a:endParaRPr lang="en-US" sz="1200" b="1">
            <a:solidFill>
              <a:sysClr val="windowText" lastClr="000000"/>
            </a:solidFill>
          </a:endParaRPr>
        </a:p>
      </xdr:txBody>
    </xdr:sp>
    <xdr:clientData/>
  </xdr:twoCellAnchor>
  <xdr:twoCellAnchor>
    <xdr:from>
      <xdr:col>3</xdr:col>
      <xdr:colOff>190502</xdr:colOff>
      <xdr:row>0</xdr:row>
      <xdr:rowOff>44817</xdr:rowOff>
    </xdr:from>
    <xdr:to>
      <xdr:col>4</xdr:col>
      <xdr:colOff>813728</xdr:colOff>
      <xdr:row>2</xdr:row>
      <xdr:rowOff>182963</xdr:rowOff>
    </xdr:to>
    <xdr:sp macro="[0]!LogToSummaryButton_Click" textlink="">
      <xdr:nvSpPr>
        <xdr:cNvPr id="19" name="Rectangle 18"/>
        <xdr:cNvSpPr/>
      </xdr:nvSpPr>
      <xdr:spPr>
        <a:xfrm>
          <a:off x="3395384"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Log To Summary</a:t>
          </a:r>
          <a:endParaRPr lang="en-US" sz="1200" b="1">
            <a:solidFill>
              <a:sysClr val="windowText" lastClr="000000"/>
            </a:solidFill>
          </a:endParaRPr>
        </a:p>
      </xdr:txBody>
    </xdr:sp>
    <xdr:clientData/>
  </xdr:twoCellAnchor>
  <xdr:twoCellAnchor>
    <xdr:from>
      <xdr:col>4</xdr:col>
      <xdr:colOff>885267</xdr:colOff>
      <xdr:row>0</xdr:row>
      <xdr:rowOff>44817</xdr:rowOff>
    </xdr:from>
    <xdr:to>
      <xdr:col>6</xdr:col>
      <xdr:colOff>656846</xdr:colOff>
      <xdr:row>2</xdr:row>
      <xdr:rowOff>182963</xdr:rowOff>
    </xdr:to>
    <xdr:sp macro="[0]!SaveGraphtoTextButton_Click" textlink="">
      <xdr:nvSpPr>
        <xdr:cNvPr id="20" name="Rectangle 19"/>
        <xdr:cNvSpPr/>
      </xdr:nvSpPr>
      <xdr:spPr>
        <a:xfrm>
          <a:off x="5076267"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Save Graph Data to .txt File</a:t>
          </a:r>
          <a:endParaRPr lang="en-US" sz="1200" b="1">
            <a:solidFill>
              <a:sysClr val="windowText" lastClr="000000"/>
            </a:solidFill>
          </a:endParaRPr>
        </a:p>
      </xdr:txBody>
    </xdr:sp>
    <xdr:clientData/>
  </xdr:twoCellAnchor>
  <xdr:twoCellAnchor>
    <xdr:from>
      <xdr:col>6</xdr:col>
      <xdr:colOff>728383</xdr:colOff>
      <xdr:row>0</xdr:row>
      <xdr:rowOff>44817</xdr:rowOff>
    </xdr:from>
    <xdr:to>
      <xdr:col>8</xdr:col>
      <xdr:colOff>264639</xdr:colOff>
      <xdr:row>2</xdr:row>
      <xdr:rowOff>182963</xdr:rowOff>
    </xdr:to>
    <xdr:sp macro="[0]!TempScanButton_Click" textlink="">
      <xdr:nvSpPr>
        <xdr:cNvPr id="21" name="Rectangle 20"/>
        <xdr:cNvSpPr/>
      </xdr:nvSpPr>
      <xdr:spPr>
        <a:xfrm>
          <a:off x="6757148"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Temperature Scan</a:t>
          </a:r>
          <a:endParaRPr lang="en-US" sz="12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707571</xdr:colOff>
      <xdr:row>20</xdr:row>
      <xdr:rowOff>77560</xdr:rowOff>
    </xdr:from>
    <xdr:to>
      <xdr:col>30</xdr:col>
      <xdr:colOff>326572</xdr:colOff>
      <xdr:row>37</xdr:row>
      <xdr:rowOff>44903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8</xdr:row>
      <xdr:rowOff>147637</xdr:rowOff>
    </xdr:from>
    <xdr:to>
      <xdr:col>12</xdr:col>
      <xdr:colOff>476250</xdr:colOff>
      <xdr:row>37</xdr:row>
      <xdr:rowOff>23812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0.6627</cdr:x>
      <cdr:y>0.74861</cdr:y>
    </cdr:from>
    <cdr:to>
      <cdr:x>0.87882</cdr:x>
      <cdr:y>0.86193</cdr:y>
    </cdr:to>
    <cdr:pic>
      <cdr:nvPicPr>
        <cdr:cNvPr id="2" name="SintonLogo"/>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cstate="print"/>
        <a:srcRect xmlns:a="http://schemas.openxmlformats.org/drawingml/2006/main"/>
        <a:stretch xmlns:a="http://schemas.openxmlformats.org/drawingml/2006/main">
          <a:fillRect/>
        </a:stretch>
      </cdr:blipFill>
      <cdr:spPr bwMode="auto">
        <a:xfrm xmlns:a="http://schemas.openxmlformats.org/drawingml/2006/main">
          <a:off x="4241800" y="3422650"/>
          <a:ext cx="1383324" cy="518094"/>
        </a:xfrm>
        <a:prstGeom xmlns:a="http://schemas.openxmlformats.org/drawingml/2006/main" prst="rect">
          <a:avLst/>
        </a:prstGeom>
        <a:noFill xmlns:a="http://schemas.openxmlformats.org/drawingml/2006/main"/>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Sample_QSS_H_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
      <sheetName val="Calc"/>
      <sheetName val="Settings"/>
      <sheetName val="Summary"/>
      <sheetName val="Multi"/>
      <sheetName val="RawData"/>
      <sheetName val="Command"/>
      <sheetName val="Module1"/>
      <sheetName val="Plots"/>
    </sheetNames>
    <sheetDataSet>
      <sheetData sheetId="0"/>
      <sheetData sheetId="1">
        <row r="6">
          <cell r="O6">
            <v>1000000000000000</v>
          </cell>
          <cell r="S6">
            <v>2.9506381862661958E-6</v>
          </cell>
        </row>
        <row r="12">
          <cell r="I12">
            <v>6357311836653251</v>
          </cell>
          <cell r="O12">
            <v>6357311836653251</v>
          </cell>
          <cell r="P12">
            <v>3.3218555482692951E-6</v>
          </cell>
        </row>
        <row r="13">
          <cell r="I13">
            <v>6075568293422847</v>
          </cell>
          <cell r="O13">
            <v>6075568293422847</v>
          </cell>
          <cell r="P13">
            <v>3.3308797756115165E-6</v>
          </cell>
        </row>
        <row r="14">
          <cell r="I14">
            <v>5779623294245631</v>
          </cell>
          <cell r="O14">
            <v>5779623294245631</v>
          </cell>
          <cell r="P14">
            <v>3.3324022674351047E-6</v>
          </cell>
        </row>
        <row r="15">
          <cell r="I15">
            <v>5469178068109949</v>
          </cell>
          <cell r="O15">
            <v>5469178068109949</v>
          </cell>
          <cell r="P15">
            <v>3.3317823431664437E-6</v>
          </cell>
        </row>
        <row r="16">
          <cell r="I16">
            <v>5177358128540033</v>
          </cell>
          <cell r="O16">
            <v>5177358128540033</v>
          </cell>
          <cell r="P16">
            <v>3.3281346933597661E-6</v>
          </cell>
        </row>
        <row r="17">
          <cell r="I17">
            <v>4892705311945483</v>
          </cell>
          <cell r="O17">
            <v>4892705311945483</v>
          </cell>
          <cell r="P17">
            <v>3.3249919723045871E-6</v>
          </cell>
        </row>
        <row r="18">
          <cell r="I18">
            <v>4621860107574339</v>
          </cell>
          <cell r="O18">
            <v>4621860107574339</v>
          </cell>
          <cell r="P18">
            <v>3.3214064024641163E-6</v>
          </cell>
        </row>
        <row r="19">
          <cell r="I19">
            <v>4366070577813275.5</v>
          </cell>
          <cell r="O19">
            <v>4366070577813275.5</v>
          </cell>
          <cell r="P19">
            <v>3.3160617891631327E-6</v>
          </cell>
        </row>
        <row r="20">
          <cell r="I20">
            <v>4124711655736265</v>
          </cell>
          <cell r="O20">
            <v>4124711655736265</v>
          </cell>
          <cell r="P20">
            <v>3.3106731048591017E-6</v>
          </cell>
        </row>
        <row r="21">
          <cell r="I21">
            <v>3895418074794244.5</v>
          </cell>
          <cell r="O21">
            <v>3895418074794244.5</v>
          </cell>
          <cell r="P21">
            <v>3.3044876004098244E-6</v>
          </cell>
        </row>
        <row r="22">
          <cell r="I22">
            <v>3681782531853783.5</v>
          </cell>
          <cell r="O22">
            <v>3681782531853783.5</v>
          </cell>
          <cell r="P22">
            <v>3.2974807775878974E-6</v>
          </cell>
        </row>
        <row r="23">
          <cell r="I23">
            <v>3477060334086581</v>
          </cell>
          <cell r="O23">
            <v>3477060334086581</v>
          </cell>
          <cell r="P23">
            <v>3.2879213049400004E-6</v>
          </cell>
        </row>
        <row r="24">
          <cell r="I24">
            <v>3285645962961221</v>
          </cell>
          <cell r="O24">
            <v>3285645962961221</v>
          </cell>
          <cell r="P24">
            <v>3.278521827984487E-6</v>
          </cell>
        </row>
        <row r="25">
          <cell r="I25">
            <v>3105098057187307.5</v>
          </cell>
          <cell r="O25">
            <v>3105098057187307.5</v>
          </cell>
          <cell r="P25">
            <v>3.2702064963388182E-6</v>
          </cell>
        </row>
        <row r="26">
          <cell r="I26">
            <v>2932426862882800</v>
          </cell>
          <cell r="O26">
            <v>2932426862882800</v>
          </cell>
          <cell r="P26">
            <v>3.2588144549082075E-6</v>
          </cell>
        </row>
        <row r="27">
          <cell r="I27">
            <v>2770627161227789.5</v>
          </cell>
          <cell r="O27">
            <v>2770627161227789.5</v>
          </cell>
          <cell r="P27">
            <v>3.2468160770665888E-6</v>
          </cell>
        </row>
        <row r="28">
          <cell r="I28">
            <v>2617760172194340</v>
          </cell>
          <cell r="O28">
            <v>2617760172194340</v>
          </cell>
          <cell r="P28">
            <v>3.2356894802289557E-6</v>
          </cell>
        </row>
        <row r="29">
          <cell r="I29">
            <v>2473368662824536.5</v>
          </cell>
          <cell r="O29">
            <v>2473368662824536.5</v>
          </cell>
          <cell r="P29">
            <v>3.2240763025013605E-6</v>
          </cell>
        </row>
        <row r="30">
          <cell r="I30">
            <v>2338648169707368.5</v>
          </cell>
          <cell r="O30">
            <v>2338648169707368.5</v>
          </cell>
          <cell r="P30">
            <v>3.2136026219720221E-6</v>
          </cell>
        </row>
        <row r="31">
          <cell r="I31">
            <v>2207412832192903.2</v>
          </cell>
          <cell r="O31">
            <v>2207412832192903.2</v>
          </cell>
          <cell r="P31">
            <v>3.1960501316675999E-6</v>
          </cell>
        </row>
        <row r="32">
          <cell r="I32">
            <v>2087023288377250.5</v>
          </cell>
          <cell r="O32">
            <v>2087023288377250.5</v>
          </cell>
          <cell r="P32">
            <v>3.1846620012588095E-6</v>
          </cell>
        </row>
        <row r="33">
          <cell r="I33">
            <v>1972274126643797.5</v>
          </cell>
          <cell r="O33">
            <v>1972274126643797.5</v>
          </cell>
          <cell r="P33">
            <v>3.1702950256288877E-6</v>
          </cell>
        </row>
        <row r="34">
          <cell r="I34">
            <v>1863132226302930</v>
          </cell>
          <cell r="O34">
            <v>1863132226302930</v>
          </cell>
          <cell r="P34">
            <v>3.1534221497027298E-6</v>
          </cell>
        </row>
        <row r="35">
          <cell r="I35">
            <v>1761804943626278.5</v>
          </cell>
          <cell r="O35">
            <v>1761804943626278.5</v>
          </cell>
          <cell r="P35">
            <v>3.1380484469329285E-6</v>
          </cell>
        </row>
        <row r="36">
          <cell r="I36">
            <v>1665885721723327.2</v>
          </cell>
          <cell r="O36">
            <v>1665885721723327.2</v>
          </cell>
          <cell r="P36">
            <v>3.1227324637211769E-6</v>
          </cell>
        </row>
        <row r="37">
          <cell r="I37">
            <v>1575674380526684.5</v>
          </cell>
          <cell r="O37">
            <v>1575674380526684.5</v>
          </cell>
          <cell r="P37">
            <v>3.1065021639728069E-6</v>
          </cell>
        </row>
        <row r="38">
          <cell r="I38">
            <v>1490302104692261.7</v>
          </cell>
          <cell r="O38">
            <v>1490302104692261.7</v>
          </cell>
          <cell r="P38">
            <v>3.0902437534296891E-6</v>
          </cell>
        </row>
        <row r="39">
          <cell r="I39">
            <v>1408735163554704.2</v>
          </cell>
          <cell r="O39">
            <v>1408735163554704.2</v>
          </cell>
          <cell r="P39">
            <v>3.0716207716638515E-6</v>
          </cell>
        </row>
        <row r="40">
          <cell r="I40">
            <v>1332488047275349.5</v>
          </cell>
          <cell r="O40">
            <v>1332488047275349.5</v>
          </cell>
          <cell r="P40">
            <v>3.0541345849592578E-6</v>
          </cell>
        </row>
        <row r="41">
          <cell r="I41">
            <v>1260641581859034.5</v>
          </cell>
          <cell r="O41">
            <v>1260641581859034.5</v>
          </cell>
          <cell r="P41">
            <v>3.0361800373178853E-6</v>
          </cell>
        </row>
        <row r="42">
          <cell r="I42">
            <v>1193691341612066.5</v>
          </cell>
          <cell r="O42">
            <v>1193691341612066.5</v>
          </cell>
          <cell r="P42">
            <v>3.0201577155020635E-6</v>
          </cell>
        </row>
        <row r="43">
          <cell r="I43">
            <v>1128944123712553.2</v>
          </cell>
          <cell r="O43">
            <v>1128944123712553.2</v>
          </cell>
          <cell r="P43">
            <v>2.9985775829732114E-6</v>
          </cell>
        </row>
        <row r="44">
          <cell r="I44">
            <v>1069361022672898.9</v>
          </cell>
          <cell r="O44">
            <v>1069361022672898.9</v>
          </cell>
          <cell r="P44">
            <v>2.9819788603209331E-6</v>
          </cell>
        </row>
        <row r="45">
          <cell r="I45">
            <v>1011683690341355.6</v>
          </cell>
          <cell r="O45">
            <v>1011683690341355.6</v>
          </cell>
          <cell r="P45">
            <v>2.9612207761131967E-6</v>
          </cell>
        </row>
        <row r="46">
          <cell r="I46">
            <v>957128426391674.37</v>
          </cell>
          <cell r="O46">
            <v>957128426391674.37</v>
          </cell>
          <cell r="P46">
            <v>2.940707310599079E-6</v>
          </cell>
        </row>
        <row r="47">
          <cell r="I47">
            <v>906562679319695.5</v>
          </cell>
          <cell r="O47">
            <v>906562679319695.5</v>
          </cell>
          <cell r="P47">
            <v>2.9215290933721768E-6</v>
          </cell>
        </row>
        <row r="48">
          <cell r="I48">
            <v>859900732343262.37</v>
          </cell>
          <cell r="O48">
            <v>859900732343262.37</v>
          </cell>
          <cell r="P48">
            <v>2.9071721649034052E-6</v>
          </cell>
        </row>
        <row r="49">
          <cell r="I49">
            <v>813899148595043</v>
          </cell>
          <cell r="O49">
            <v>813899148595043</v>
          </cell>
          <cell r="P49">
            <v>2.8853065144397234E-6</v>
          </cell>
        </row>
        <row r="50">
          <cell r="I50">
            <v>771205386461624.12</v>
          </cell>
          <cell r="O50">
            <v>771205386461624.12</v>
          </cell>
          <cell r="P50">
            <v>2.8670356680516885E-6</v>
          </cell>
        </row>
        <row r="51">
          <cell r="I51">
            <v>730015471684787.37</v>
          </cell>
          <cell r="O51">
            <v>730015471684787.37</v>
          </cell>
          <cell r="P51">
            <v>2.843916007100601E-6</v>
          </cell>
        </row>
        <row r="52">
          <cell r="I52">
            <v>693239549670056.37</v>
          </cell>
          <cell r="O52">
            <v>693239549670056.37</v>
          </cell>
          <cell r="P52">
            <v>2.8298947687943393E-6</v>
          </cell>
        </row>
        <row r="53">
          <cell r="I53">
            <v>655513742228689.62</v>
          </cell>
          <cell r="O53">
            <v>655513742228689.62</v>
          </cell>
          <cell r="P53">
            <v>2.8056886986616763E-6</v>
          </cell>
        </row>
        <row r="54">
          <cell r="I54">
            <v>620761668959636.87</v>
          </cell>
          <cell r="O54">
            <v>620761668959636.87</v>
          </cell>
          <cell r="P54">
            <v>2.7822992373586301E-6</v>
          </cell>
        </row>
        <row r="55">
          <cell r="I55">
            <v>589428116898785.62</v>
          </cell>
          <cell r="O55">
            <v>589428116898785.62</v>
          </cell>
          <cell r="P55">
            <v>2.7659403642294205E-6</v>
          </cell>
        </row>
        <row r="56">
          <cell r="I56">
            <v>558523112655791.44</v>
          </cell>
          <cell r="O56">
            <v>558523112655791.44</v>
          </cell>
          <cell r="P56">
            <v>2.7450515019295055E-6</v>
          </cell>
        </row>
        <row r="57">
          <cell r="I57">
            <v>530064215618061.06</v>
          </cell>
          <cell r="O57">
            <v>530064215618061.06</v>
          </cell>
          <cell r="P57">
            <v>2.7276229776781483E-6</v>
          </cell>
        </row>
        <row r="58">
          <cell r="I58">
            <v>503713234235808.06</v>
          </cell>
          <cell r="O58">
            <v>503713234235808.06</v>
          </cell>
          <cell r="P58">
            <v>2.7126900989346794E-6</v>
          </cell>
        </row>
        <row r="59">
          <cell r="I59">
            <v>477152506114875.81</v>
          </cell>
          <cell r="O59">
            <v>477152506114875.81</v>
          </cell>
          <cell r="P59">
            <v>2.6884787705216512E-6</v>
          </cell>
        </row>
        <row r="60">
          <cell r="I60">
            <v>452534551981737.12</v>
          </cell>
          <cell r="O60">
            <v>452534551981737.12</v>
          </cell>
          <cell r="P60">
            <v>2.6697254622310277E-6</v>
          </cell>
        </row>
        <row r="61">
          <cell r="I61">
            <v>428708450382729.87</v>
          </cell>
          <cell r="O61">
            <v>428708450382729.87</v>
          </cell>
          <cell r="P61">
            <v>2.646571955447755E-6</v>
          </cell>
        </row>
        <row r="62">
          <cell r="I62">
            <v>406500063452447.44</v>
          </cell>
          <cell r="O62">
            <v>406500063452447.44</v>
          </cell>
          <cell r="P62">
            <v>2.6258915645708227E-6</v>
          </cell>
        </row>
        <row r="63">
          <cell r="I63">
            <v>385657684861465.5</v>
          </cell>
          <cell r="O63">
            <v>385657684861465.5</v>
          </cell>
          <cell r="P63">
            <v>2.6053654034220685E-6</v>
          </cell>
        </row>
        <row r="64">
          <cell r="I64">
            <v>366064305349856.75</v>
          </cell>
          <cell r="O64">
            <v>366064305349856.75</v>
          </cell>
          <cell r="P64">
            <v>2.5833233025677221E-6</v>
          </cell>
        </row>
        <row r="65">
          <cell r="I65">
            <v>347360878087507.94</v>
          </cell>
          <cell r="O65">
            <v>347360878087507.94</v>
          </cell>
          <cell r="P65">
            <v>2.5623538677570673E-6</v>
          </cell>
        </row>
        <row r="66">
          <cell r="I66">
            <v>329989270627530.19</v>
          </cell>
          <cell r="O66">
            <v>329989270627530.19</v>
          </cell>
          <cell r="P66">
            <v>2.5434053991836794E-6</v>
          </cell>
        </row>
        <row r="67">
          <cell r="I67">
            <v>315318007144594.44</v>
          </cell>
          <cell r="O67">
            <v>315318007144594.44</v>
          </cell>
          <cell r="P67">
            <v>2.5408381546220144E-6</v>
          </cell>
        </row>
        <row r="68">
          <cell r="I68">
            <v>297750274705126.5</v>
          </cell>
          <cell r="O68">
            <v>297750274705126.5</v>
          </cell>
          <cell r="P68">
            <v>2.5074404748491183E-6</v>
          </cell>
        </row>
        <row r="69">
          <cell r="I69">
            <v>282982747518770.81</v>
          </cell>
          <cell r="O69">
            <v>282982747518770.81</v>
          </cell>
          <cell r="P69">
            <v>2.4881093726199901E-6</v>
          </cell>
        </row>
        <row r="70">
          <cell r="I70">
            <v>269099256158133.47</v>
          </cell>
          <cell r="O70">
            <v>269099256158133.47</v>
          </cell>
          <cell r="P70">
            <v>2.4751133935815161E-6</v>
          </cell>
        </row>
        <row r="71">
          <cell r="I71">
            <v>254282023050937.19</v>
          </cell>
          <cell r="O71">
            <v>254282023050937.19</v>
          </cell>
          <cell r="P71">
            <v>2.4478177179198213E-6</v>
          </cell>
        </row>
        <row r="72">
          <cell r="I72">
            <v>242151708584138.84</v>
          </cell>
          <cell r="O72">
            <v>242151708584138.84</v>
          </cell>
          <cell r="P72">
            <v>2.4305733197760858E-6</v>
          </cell>
        </row>
        <row r="73">
          <cell r="I73">
            <v>230622952210888.47</v>
          </cell>
          <cell r="O73">
            <v>230622952210888.47</v>
          </cell>
          <cell r="P73">
            <v>2.4178034997961081E-6</v>
          </cell>
        </row>
        <row r="74">
          <cell r="I74">
            <v>218633457522958.56</v>
          </cell>
          <cell r="O74">
            <v>218633457522958.56</v>
          </cell>
          <cell r="P74">
            <v>2.3924125350325544E-6</v>
          </cell>
        </row>
        <row r="75">
          <cell r="I75">
            <v>209501517191593.41</v>
          </cell>
          <cell r="O75">
            <v>209501517191593.41</v>
          </cell>
          <cell r="P75">
            <v>2.3942204111185765E-6</v>
          </cell>
        </row>
        <row r="76">
          <cell r="I76">
            <v>196851270907614.28</v>
          </cell>
          <cell r="O76">
            <v>196851270907614.28</v>
          </cell>
          <cell r="P76">
            <v>2.3540594121807558E-6</v>
          </cell>
        </row>
        <row r="77">
          <cell r="I77">
            <v>188556629432050.12</v>
          </cell>
          <cell r="O77">
            <v>188556629432050.12</v>
          </cell>
          <cell r="P77">
            <v>2.3534602170154266E-6</v>
          </cell>
        </row>
        <row r="78">
          <cell r="I78">
            <v>177955007384308.19</v>
          </cell>
          <cell r="O78">
            <v>177955007384308.19</v>
          </cell>
          <cell r="P78">
            <v>2.3179650568934245E-6</v>
          </cell>
        </row>
        <row r="79">
          <cell r="I79">
            <v>169346874677525.5</v>
          </cell>
          <cell r="O79">
            <v>169346874677525.5</v>
          </cell>
          <cell r="P79">
            <v>2.303231581610321E-6</v>
          </cell>
        </row>
        <row r="80">
          <cell r="I80">
            <v>160505744103537.81</v>
          </cell>
          <cell r="O80">
            <v>160505744103537.81</v>
          </cell>
          <cell r="P80">
            <v>2.2867780125259115E-6</v>
          </cell>
        </row>
        <row r="81">
          <cell r="I81">
            <v>152901113586536.31</v>
          </cell>
          <cell r="O81">
            <v>152901113586536.31</v>
          </cell>
          <cell r="P81">
            <v>2.2693401272823724E-6</v>
          </cell>
        </row>
        <row r="82">
          <cell r="I82">
            <v>144644337593588.31</v>
          </cell>
          <cell r="O82">
            <v>144644337593588.31</v>
          </cell>
          <cell r="P82">
            <v>2.2423601561615472E-6</v>
          </cell>
        </row>
        <row r="83">
          <cell r="I83">
            <v>136750942309335.56</v>
          </cell>
          <cell r="O83">
            <v>136750942309335.56</v>
          </cell>
          <cell r="P83">
            <v>2.2140451490219514E-6</v>
          </cell>
        </row>
        <row r="84">
          <cell r="I84">
            <v>130870003730368.19</v>
          </cell>
          <cell r="O84">
            <v>130870003730368.19</v>
          </cell>
          <cell r="P84">
            <v>2.2127831465835192E-6</v>
          </cell>
        </row>
        <row r="85">
          <cell r="I85">
            <v>123461408673406.16</v>
          </cell>
          <cell r="O85">
            <v>123461408673406.16</v>
          </cell>
          <cell r="P85">
            <v>2.1784148852093195E-6</v>
          </cell>
        </row>
        <row r="86">
          <cell r="I86">
            <v>117696616891582.8</v>
          </cell>
          <cell r="O86">
            <v>117696616891582.8</v>
          </cell>
          <cell r="P86">
            <v>2.1690247981825736E-6</v>
          </cell>
        </row>
        <row r="87">
          <cell r="I87">
            <v>111415929165805.14</v>
          </cell>
          <cell r="O87">
            <v>111415929165805.14</v>
          </cell>
          <cell r="P87">
            <v>2.1412632922366796E-6</v>
          </cell>
        </row>
        <row r="88">
          <cell r="I88">
            <v>107034947555368.14</v>
          </cell>
          <cell r="O88">
            <v>107034947555368.14</v>
          </cell>
          <cell r="P88">
            <v>2.1452087806239468E-6</v>
          </cell>
        </row>
        <row r="89">
          <cell r="I89">
            <v>101931819526840</v>
          </cell>
          <cell r="O89">
            <v>101931819526840</v>
          </cell>
          <cell r="P89">
            <v>2.1397185594800095E-6</v>
          </cell>
        </row>
        <row r="90">
          <cell r="I90">
            <v>96857880440009.078</v>
          </cell>
          <cell r="O90">
            <v>96857880440009.078</v>
          </cell>
          <cell r="P90">
            <v>2.1174464332323141E-6</v>
          </cell>
        </row>
        <row r="91">
          <cell r="I91">
            <v>91502596142334.422</v>
          </cell>
          <cell r="O91">
            <v>91502596142334.422</v>
          </cell>
          <cell r="P91">
            <v>2.0953161411742771E-6</v>
          </cell>
        </row>
        <row r="92">
          <cell r="I92">
            <v>87573743078505.234</v>
          </cell>
          <cell r="O92">
            <v>87573743078505.234</v>
          </cell>
          <cell r="P92">
            <v>2.0863417358601295E-6</v>
          </cell>
        </row>
        <row r="93">
          <cell r="I93">
            <v>82685408851470.594</v>
          </cell>
          <cell r="O93">
            <v>82685408851470.594</v>
          </cell>
          <cell r="P93">
            <v>2.0598833950892861E-6</v>
          </cell>
        </row>
        <row r="94">
          <cell r="I94">
            <v>78101766744855.5</v>
          </cell>
          <cell r="O94">
            <v>78101766744855.5</v>
          </cell>
          <cell r="P94">
            <v>2.0394922739177572E-6</v>
          </cell>
        </row>
        <row r="95">
          <cell r="I95">
            <v>74902723190354.734</v>
          </cell>
          <cell r="O95">
            <v>74902723190354.734</v>
          </cell>
          <cell r="P95">
            <v>2.0404108398086319E-6</v>
          </cell>
        </row>
        <row r="96">
          <cell r="I96">
            <v>70003311521177.109</v>
          </cell>
          <cell r="O96">
            <v>70003311521177.109</v>
          </cell>
          <cell r="P96">
            <v>1.9896852233504053E-6</v>
          </cell>
        </row>
        <row r="97">
          <cell r="I97">
            <v>67089926585634.93</v>
          </cell>
          <cell r="O97">
            <v>67089926585634.93</v>
          </cell>
          <cell r="P97">
            <v>1.9843081140977787E-6</v>
          </cell>
        </row>
        <row r="98">
          <cell r="I98">
            <v>62995722617395.102</v>
          </cell>
          <cell r="O98">
            <v>62995722617395.102</v>
          </cell>
          <cell r="P98">
            <v>1.9510047933358633E-6</v>
          </cell>
        </row>
        <row r="99">
          <cell r="I99">
            <v>59465490386469.352</v>
          </cell>
          <cell r="O99">
            <v>59465490386469.352</v>
          </cell>
          <cell r="P99">
            <v>1.9248846872565096E-6</v>
          </cell>
        </row>
        <row r="100">
          <cell r="I100">
            <v>56948614555203.984</v>
          </cell>
          <cell r="O100">
            <v>56948614555203.984</v>
          </cell>
          <cell r="P100">
            <v>1.9246120204110551E-6</v>
          </cell>
        </row>
        <row r="101">
          <cell r="I101">
            <v>52763679624255.586</v>
          </cell>
          <cell r="O101">
            <v>52763679624255.586</v>
          </cell>
          <cell r="P101">
            <v>1.860727106063345E-6</v>
          </cell>
        </row>
        <row r="102">
          <cell r="I102">
            <v>50433986589296.094</v>
          </cell>
          <cell r="O102">
            <v>50433986589296.094</v>
          </cell>
          <cell r="P102">
            <v>1.8659557438392886E-6</v>
          </cell>
        </row>
        <row r="103">
          <cell r="I103">
            <v>49281853019705.031</v>
          </cell>
          <cell r="O103">
            <v>49281853019705.031</v>
          </cell>
          <cell r="P103">
            <v>1.8944804452122312E-6</v>
          </cell>
        </row>
        <row r="104">
          <cell r="I104">
            <v>46958698474348.594</v>
          </cell>
          <cell r="O104">
            <v>46958698474348.594</v>
          </cell>
          <cell r="P104">
            <v>1.8999189573402627E-6</v>
          </cell>
        </row>
        <row r="105">
          <cell r="I105">
            <v>44585046315924.148</v>
          </cell>
          <cell r="O105">
            <v>44585046315924.148</v>
          </cell>
          <cell r="P105">
            <v>1.8711098321420075E-6</v>
          </cell>
        </row>
        <row r="106">
          <cell r="I106">
            <v>41240025221609.625</v>
          </cell>
          <cell r="O106">
            <v>41240025221609.625</v>
          </cell>
          <cell r="P106">
            <v>1.8157645098008029E-6</v>
          </cell>
        </row>
        <row r="107">
          <cell r="I107">
            <v>39078731362029.25</v>
          </cell>
          <cell r="O107">
            <v>39078731362029.25</v>
          </cell>
          <cell r="P107">
            <v>1.7983694234652811E-6</v>
          </cell>
        </row>
        <row r="108">
          <cell r="I108">
            <v>36686575500399.07</v>
          </cell>
          <cell r="O108">
            <v>36686575500399.07</v>
          </cell>
          <cell r="P108">
            <v>1.7579835474779418E-6</v>
          </cell>
        </row>
        <row r="109">
          <cell r="I109">
            <v>35208954902356.609</v>
          </cell>
          <cell r="O109">
            <v>35208954902356.609</v>
          </cell>
          <cell r="P109">
            <v>1.7690673800625974E-6</v>
          </cell>
        </row>
        <row r="110">
          <cell r="I110">
            <v>32810709592566.297</v>
          </cell>
          <cell r="O110">
            <v>32810709592566.297</v>
          </cell>
          <cell r="P110">
            <v>1.7130810811319095E-6</v>
          </cell>
        </row>
        <row r="111">
          <cell r="I111">
            <v>31994454055036.129</v>
          </cell>
          <cell r="O111">
            <v>31994454055036.129</v>
          </cell>
          <cell r="P111">
            <v>1.7566304541853806E-6</v>
          </cell>
        </row>
        <row r="112">
          <cell r="I112">
            <v>30741630076591.809</v>
          </cell>
          <cell r="O112">
            <v>30741630076591.809</v>
          </cell>
          <cell r="P112">
            <v>1.7322925652914869E-6</v>
          </cell>
        </row>
        <row r="113">
          <cell r="I113">
            <v>28824507957467.187</v>
          </cell>
          <cell r="O113">
            <v>28824507957467.187</v>
          </cell>
          <cell r="P113">
            <v>1.7178275526851015E-6</v>
          </cell>
        </row>
        <row r="114">
          <cell r="I114">
            <v>27837511678868.984</v>
          </cell>
          <cell r="O114">
            <v>27837511678868.984</v>
          </cell>
          <cell r="P114">
            <v>1.7396402723817745E-6</v>
          </cell>
        </row>
        <row r="115">
          <cell r="I115">
            <v>24506584375203.199</v>
          </cell>
          <cell r="O115">
            <v>24506584375203.199</v>
          </cell>
          <cell r="P115">
            <v>1.6014788273425592E-6</v>
          </cell>
        </row>
        <row r="116">
          <cell r="I116">
            <v>23494393353187.844</v>
          </cell>
          <cell r="O116">
            <v>23494393353187.844</v>
          </cell>
          <cell r="P116">
            <v>1.6130511138152418E-6</v>
          </cell>
        </row>
        <row r="117">
          <cell r="I117">
            <v>22090022002806.324</v>
          </cell>
          <cell r="O117">
            <v>22090022002806.324</v>
          </cell>
          <cell r="P117">
            <v>1.5706996892769693E-6</v>
          </cell>
        </row>
        <row r="118">
          <cell r="I118">
            <v>19509147628826.016</v>
          </cell>
          <cell r="O118">
            <v>19509147628826.016</v>
          </cell>
          <cell r="P118">
            <v>1.4526169390267413E-6</v>
          </cell>
        </row>
        <row r="119">
          <cell r="I119">
            <v>18794376970564.293</v>
          </cell>
          <cell r="O119">
            <v>18794376970564.293</v>
          </cell>
          <cell r="P119">
            <v>1.4552302525886484E-6</v>
          </cell>
        </row>
        <row r="120">
          <cell r="I120">
            <v>17077083554332.82</v>
          </cell>
          <cell r="O120">
            <v>17077083554332.82</v>
          </cell>
          <cell r="P120">
            <v>1.3843518952748287E-6</v>
          </cell>
        </row>
        <row r="121">
          <cell r="I121">
            <v>16001837212263.648</v>
          </cell>
          <cell r="O121">
            <v>16001837212263.648</v>
          </cell>
          <cell r="P121">
            <v>1.362162907740251E-6</v>
          </cell>
        </row>
        <row r="122">
          <cell r="I122">
            <v>14234070456350.615</v>
          </cell>
          <cell r="O122">
            <v>14234070456350.615</v>
          </cell>
          <cell r="P122">
            <v>1.278362841001947E-6</v>
          </cell>
        </row>
        <row r="123">
          <cell r="I123">
            <v>14746366670488.822</v>
          </cell>
          <cell r="O123">
            <v>14746366670488.822</v>
          </cell>
          <cell r="P123">
            <v>1.3772625988661505E-6</v>
          </cell>
        </row>
        <row r="124">
          <cell r="I124">
            <v>13566830586433.379</v>
          </cell>
          <cell r="O124">
            <v>13566830586433.379</v>
          </cell>
          <cell r="P124">
            <v>1.3313061312948168E-6</v>
          </cell>
        </row>
        <row r="125">
          <cell r="I125">
            <v>13263256053151.559</v>
          </cell>
          <cell r="O125">
            <v>13263256053151.559</v>
          </cell>
          <cell r="P125">
            <v>1.3558080559196951E-6</v>
          </cell>
        </row>
        <row r="126">
          <cell r="I126">
            <v>13215822746787.08</v>
          </cell>
          <cell r="O126">
            <v>13215822746787.08</v>
          </cell>
          <cell r="P126">
            <v>1.4085388388091801E-6</v>
          </cell>
        </row>
        <row r="127">
          <cell r="I127">
            <v>12491681466777.975</v>
          </cell>
          <cell r="O127">
            <v>12491681466777.975</v>
          </cell>
          <cell r="P127">
            <v>1.3967867315764266E-6</v>
          </cell>
        </row>
        <row r="128">
          <cell r="I128">
            <v>10780990876727.477</v>
          </cell>
          <cell r="O128">
            <v>10780990876727.477</v>
          </cell>
          <cell r="P128">
            <v>1.2621121705903251E-6</v>
          </cell>
        </row>
        <row r="129">
          <cell r="I129">
            <v>10294042831266.822</v>
          </cell>
          <cell r="O129">
            <v>10294042831266.822</v>
          </cell>
          <cell r="P129">
            <v>1.2912780869418921E-6</v>
          </cell>
        </row>
        <row r="130">
          <cell r="I130">
            <v>10003141719243.561</v>
          </cell>
          <cell r="O130">
            <v>10003141719243.561</v>
          </cell>
          <cell r="P130">
            <v>1.2809498783492408E-6</v>
          </cell>
        </row>
        <row r="131">
          <cell r="I131">
            <v>8608743838923.9619</v>
          </cell>
          <cell r="O131">
            <v>8608743838923.9619</v>
          </cell>
          <cell r="P131">
            <v>1.1653322291672973E-6</v>
          </cell>
        </row>
      </sheetData>
      <sheetData sheetId="2"/>
      <sheetData sheetId="3"/>
      <sheetData sheetId="4"/>
      <sheetData sheetId="5"/>
      <sheetData sheetId="6"/>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T136"/>
  <sheetViews>
    <sheetView showGridLines="0" tabSelected="1" zoomScale="70" zoomScaleNormal="70" workbookViewId="0">
      <selection activeCell="F6" sqref="F6"/>
    </sheetView>
  </sheetViews>
  <sheetFormatPr defaultRowHeight="12.75" x14ac:dyDescent="0.2"/>
  <cols>
    <col min="1" max="1" width="17.28515625" style="39" customWidth="1"/>
    <col min="2" max="2" width="14.85546875" style="39" customWidth="1"/>
    <col min="3" max="3" width="16" style="39" customWidth="1"/>
    <col min="4" max="4" width="14.85546875" style="39" customWidth="1"/>
    <col min="5" max="6" width="13.7109375" style="39" customWidth="1"/>
    <col min="7" max="7" width="13.42578125" style="39" customWidth="1"/>
    <col min="8" max="8" width="17.7109375" style="39" customWidth="1"/>
    <col min="9" max="9" width="15.7109375" style="39" customWidth="1"/>
    <col min="10" max="11" width="14.140625" style="39" customWidth="1"/>
    <col min="12" max="12" width="12.42578125" style="39" customWidth="1"/>
    <col min="13" max="13" width="11.28515625" style="39" customWidth="1"/>
    <col min="14" max="14" width="9.28515625" style="39" bestFit="1" customWidth="1"/>
    <col min="15" max="15" width="10.5703125" style="39" bestFit="1" customWidth="1"/>
    <col min="16" max="16384" width="9.140625" style="39"/>
  </cols>
  <sheetData>
    <row r="1" spans="1:20" ht="15.75" customHeight="1" x14ac:dyDescent="0.25">
      <c r="C1" s="40"/>
      <c r="E1" s="41"/>
      <c r="L1" s="42" t="s">
        <v>154</v>
      </c>
      <c r="R1" s="41"/>
    </row>
    <row r="2" spans="1:20" s="46" customFormat="1" ht="15" customHeight="1" x14ac:dyDescent="0.25">
      <c r="A2" s="43"/>
      <c r="B2" s="43"/>
      <c r="C2" s="44"/>
      <c r="D2" s="43"/>
      <c r="E2" s="43"/>
      <c r="F2" s="43"/>
      <c r="G2" s="43"/>
      <c r="H2" s="43"/>
      <c r="I2" s="45">
        <v>1</v>
      </c>
      <c r="L2" s="47" t="s">
        <v>48</v>
      </c>
      <c r="M2" s="48" t="s">
        <v>331</v>
      </c>
      <c r="N2" s="49" t="s">
        <v>332</v>
      </c>
      <c r="P2" s="50"/>
      <c r="Q2" s="43"/>
      <c r="R2" s="43"/>
      <c r="S2" s="43"/>
    </row>
    <row r="3" spans="1:20" s="46" customFormat="1" ht="15" customHeight="1" x14ac:dyDescent="0.2">
      <c r="A3" s="51"/>
      <c r="B3" s="52"/>
      <c r="C3" s="53"/>
      <c r="D3" s="54"/>
      <c r="E3" s="54"/>
      <c r="F3" s="54"/>
      <c r="G3" s="55"/>
      <c r="H3" s="43"/>
      <c r="M3" s="43"/>
      <c r="N3" s="43"/>
      <c r="P3" s="43"/>
      <c r="Q3" s="43"/>
      <c r="R3" s="43"/>
      <c r="S3" s="43"/>
    </row>
    <row r="4" spans="1:20" s="46" customFormat="1" ht="15" customHeight="1" x14ac:dyDescent="0.25">
      <c r="A4" s="56" t="s">
        <v>152</v>
      </c>
      <c r="B4" s="56"/>
      <c r="C4" s="57"/>
      <c r="D4" s="56"/>
      <c r="E4" s="56" t="s">
        <v>13</v>
      </c>
      <c r="F4" s="56"/>
      <c r="G4" s="56"/>
      <c r="I4" s="56" t="s">
        <v>155</v>
      </c>
      <c r="J4" s="58"/>
      <c r="K4" s="58"/>
      <c r="L4" s="56" t="s">
        <v>316</v>
      </c>
      <c r="M4" s="50"/>
      <c r="O4" s="50"/>
      <c r="P4" s="50"/>
      <c r="Q4" s="59"/>
      <c r="R4" s="43"/>
      <c r="S4" s="43"/>
    </row>
    <row r="5" spans="1:20" ht="35.25" customHeight="1" x14ac:dyDescent="0.25">
      <c r="A5" s="60" t="s">
        <v>14</v>
      </c>
      <c r="B5" s="61" t="s">
        <v>153</v>
      </c>
      <c r="C5" s="61" t="s">
        <v>157</v>
      </c>
      <c r="D5" s="62" t="s">
        <v>257</v>
      </c>
      <c r="E5" s="60" t="s">
        <v>20</v>
      </c>
      <c r="F5" s="61" t="s">
        <v>333</v>
      </c>
      <c r="G5" s="63" t="s">
        <v>166</v>
      </c>
      <c r="H5" s="64" t="s">
        <v>151</v>
      </c>
      <c r="I5" s="61" t="s">
        <v>15</v>
      </c>
      <c r="J5" s="61" t="s">
        <v>19</v>
      </c>
      <c r="K5" s="61" t="s">
        <v>22</v>
      </c>
      <c r="L5" s="65" t="s">
        <v>317</v>
      </c>
      <c r="M5" s="66" t="s">
        <v>318</v>
      </c>
      <c r="N5" s="66" t="s">
        <v>319</v>
      </c>
      <c r="O5" s="67" t="s">
        <v>320</v>
      </c>
      <c r="P5" s="46"/>
      <c r="Q5" s="59"/>
      <c r="R5" s="43"/>
      <c r="S5" s="43"/>
      <c r="T5" s="46"/>
    </row>
    <row r="6" spans="1:20" s="83" customFormat="1" ht="15.75" customHeight="1" x14ac:dyDescent="0.25">
      <c r="A6" s="68" t="s">
        <v>354</v>
      </c>
      <c r="B6" s="69">
        <v>3.5000000000000003E-2</v>
      </c>
      <c r="C6" s="70">
        <v>2.4500000000000002</v>
      </c>
      <c r="D6" s="71" t="s">
        <v>220</v>
      </c>
      <c r="E6" s="72">
        <v>1.1100000000000001</v>
      </c>
      <c r="F6" s="73">
        <v>1000000000000000</v>
      </c>
      <c r="G6" s="74">
        <v>0</v>
      </c>
      <c r="H6" s="75" t="s">
        <v>283</v>
      </c>
      <c r="I6" s="76">
        <f>MeasDate</f>
        <v>42866</v>
      </c>
      <c r="J6" s="77">
        <f>MeasTime</f>
        <v>0.43538194444444445</v>
      </c>
      <c r="K6" s="78" t="s">
        <v>353</v>
      </c>
      <c r="L6" s="79">
        <v>30</v>
      </c>
      <c r="M6" s="74">
        <v>200</v>
      </c>
      <c r="N6" s="74">
        <v>5</v>
      </c>
      <c r="O6" s="80">
        <v>0.5</v>
      </c>
      <c r="P6" s="81"/>
      <c r="Q6" s="46"/>
      <c r="R6" s="81"/>
      <c r="S6" s="82"/>
      <c r="T6" s="81"/>
    </row>
    <row r="7" spans="1:20" ht="18.75" customHeight="1" x14ac:dyDescent="0.25">
      <c r="A7" s="56" t="s">
        <v>23</v>
      </c>
      <c r="B7" s="56"/>
      <c r="C7" s="50"/>
      <c r="D7" s="49"/>
      <c r="E7" s="84"/>
      <c r="F7" s="85"/>
      <c r="G7" s="49" t="s">
        <v>254</v>
      </c>
      <c r="H7" s="50"/>
      <c r="I7" s="50"/>
      <c r="J7" s="49"/>
      <c r="K7" s="86"/>
      <c r="M7" s="56" t="s">
        <v>250</v>
      </c>
      <c r="O7" s="50"/>
      <c r="P7" s="43"/>
      <c r="Q7" s="43"/>
      <c r="R7" s="43"/>
      <c r="S7" s="43"/>
      <c r="T7" s="46"/>
    </row>
    <row r="8" spans="1:20" ht="49.5" customHeight="1" x14ac:dyDescent="0.25">
      <c r="A8" s="60" t="s">
        <v>25</v>
      </c>
      <c r="B8" s="87" t="s">
        <v>334</v>
      </c>
      <c r="C8" s="61" t="s">
        <v>335</v>
      </c>
      <c r="D8" s="61" t="s">
        <v>336</v>
      </c>
      <c r="E8" s="61" t="s">
        <v>258</v>
      </c>
      <c r="F8" s="61" t="s">
        <v>337</v>
      </c>
      <c r="G8" s="61" t="s">
        <v>338</v>
      </c>
      <c r="H8" s="61" t="s">
        <v>339</v>
      </c>
      <c r="I8" s="61" t="s">
        <v>340</v>
      </c>
      <c r="J8" s="61" t="s">
        <v>341</v>
      </c>
      <c r="K8" s="88" t="s">
        <v>262</v>
      </c>
      <c r="L8" s="88" t="s">
        <v>342</v>
      </c>
      <c r="M8" s="283" t="str">
        <f ca="1">RefCellErrorMsg&amp;MCDErrorMsg&amp;LightBiasErrorMsg&amp;AirVoltageError&amp;AnalysisModeErrorMsg&amp;mobilitymodelerror</f>
        <v>Use Dorkel/ Leturqc mobility model for this analysis</v>
      </c>
      <c r="N8" s="284"/>
      <c r="O8" s="285"/>
      <c r="P8" s="43"/>
      <c r="Q8" s="43"/>
      <c r="R8" s="43"/>
      <c r="S8" s="43"/>
      <c r="T8" s="46"/>
    </row>
    <row r="9" spans="1:20" s="83" customFormat="1" ht="17.25" customHeight="1" x14ac:dyDescent="0.25">
      <c r="A9" s="89">
        <f>MeasuredLifetime</f>
        <v>2.9459166017500849</v>
      </c>
      <c r="B9" s="90">
        <f>CorrectedSheetRho</f>
        <v>81.407542707392437</v>
      </c>
      <c r="C9" s="91">
        <f>CorrectedResistivity</f>
        <v>2.8492639947587355</v>
      </c>
      <c r="D9" s="92">
        <f>Jo</f>
        <v>-1.6790295059036426E-11</v>
      </c>
      <c r="E9" s="90">
        <f>TauFitIntercept</f>
        <v>1.6230275414758351</v>
      </c>
      <c r="F9" s="93">
        <f>MinApparentCD</f>
        <v>2971453803248.3032</v>
      </c>
      <c r="G9" s="93">
        <f>MaxApparentCD</f>
        <v>1384023143857424</v>
      </c>
      <c r="H9" s="93">
        <f>BiasPtCD</f>
        <v>0</v>
      </c>
      <c r="I9" s="93">
        <f>Traps</f>
        <v>0</v>
      </c>
      <c r="J9" s="93">
        <f>SampleDoping</f>
        <v>5834517127358639</v>
      </c>
      <c r="K9" s="94">
        <f ca="1">ImpliedVoc1sun</f>
        <v>0.53095315321454684</v>
      </c>
      <c r="L9" s="95">
        <f>Temperature</f>
        <v>50.360469000000002</v>
      </c>
      <c r="M9" s="286"/>
      <c r="N9" s="287"/>
      <c r="O9" s="288"/>
      <c r="P9" s="43"/>
      <c r="Q9" s="82"/>
      <c r="R9" s="82"/>
      <c r="S9" s="82"/>
      <c r="T9" s="81"/>
    </row>
    <row r="10" spans="1:20" s="83" customFormat="1" ht="18" customHeight="1" x14ac:dyDescent="0.2">
      <c r="A10" s="275" t="str">
        <f>LifetimeTextLabel</f>
        <v>Lifetime = 2.95 µs @ 1.0E+15 cm-3</v>
      </c>
      <c r="B10" s="276"/>
      <c r="C10" s="276"/>
      <c r="D10" s="276"/>
      <c r="E10" s="276"/>
      <c r="F10" s="276"/>
      <c r="G10" s="276"/>
      <c r="H10" s="276"/>
      <c r="I10" s="277"/>
      <c r="J10" s="281" t="str">
        <f>PassFailMsg</f>
        <v/>
      </c>
      <c r="K10" s="96"/>
      <c r="M10" s="286"/>
      <c r="N10" s="287"/>
      <c r="O10" s="288"/>
      <c r="P10" s="96"/>
      <c r="Q10" s="97"/>
      <c r="R10" s="97"/>
      <c r="S10" s="97"/>
    </row>
    <row r="11" spans="1:20" ht="11.25" customHeight="1" x14ac:dyDescent="0.2">
      <c r="A11" s="278"/>
      <c r="B11" s="279"/>
      <c r="C11" s="279"/>
      <c r="D11" s="279"/>
      <c r="E11" s="279"/>
      <c r="F11" s="279"/>
      <c r="G11" s="279"/>
      <c r="H11" s="279"/>
      <c r="I11" s="280"/>
      <c r="J11" s="282"/>
      <c r="K11" s="41"/>
      <c r="M11" s="289"/>
      <c r="N11" s="290"/>
      <c r="O11" s="291"/>
      <c r="P11" s="41"/>
      <c r="Q11" s="41"/>
      <c r="R11" s="41"/>
      <c r="S11" s="41"/>
    </row>
    <row r="12" spans="1:20" x14ac:dyDescent="0.2">
      <c r="A12" s="98"/>
      <c r="B12" s="98"/>
      <c r="C12" s="98"/>
      <c r="D12" s="98"/>
      <c r="E12" s="43"/>
      <c r="F12" s="41"/>
      <c r="G12" s="41"/>
      <c r="H12" s="41"/>
      <c r="I12" s="41"/>
      <c r="J12" s="41"/>
      <c r="K12" s="41"/>
      <c r="L12" s="41"/>
      <c r="M12" s="41"/>
      <c r="N12" s="41"/>
      <c r="O12" s="41"/>
      <c r="P12" s="41"/>
      <c r="Q12" s="41"/>
      <c r="R12" s="41"/>
      <c r="S12" s="41"/>
    </row>
    <row r="13" spans="1:20" x14ac:dyDescent="0.2">
      <c r="A13" s="99"/>
      <c r="B13" s="82"/>
      <c r="C13" s="100"/>
      <c r="D13" s="101"/>
      <c r="E13" s="43"/>
      <c r="F13" s="41"/>
      <c r="G13" s="41"/>
      <c r="H13" s="41"/>
      <c r="I13" s="41"/>
      <c r="J13" s="41"/>
      <c r="K13" s="41"/>
      <c r="L13" s="41"/>
      <c r="M13" s="41"/>
      <c r="N13" s="41"/>
      <c r="O13" s="41"/>
      <c r="P13" s="41"/>
      <c r="Q13" s="41"/>
      <c r="R13" s="41"/>
      <c r="S13" s="41"/>
    </row>
    <row r="14" spans="1:20" x14ac:dyDescent="0.2">
      <c r="A14" s="43"/>
      <c r="B14" s="43"/>
      <c r="C14" s="43"/>
      <c r="D14" s="43"/>
      <c r="E14" s="43"/>
      <c r="F14" s="41"/>
      <c r="G14" s="41"/>
      <c r="H14" s="41"/>
      <c r="I14" s="41"/>
      <c r="J14" s="41"/>
      <c r="K14" s="41"/>
      <c r="L14" s="41"/>
      <c r="M14" s="41"/>
      <c r="N14" s="41"/>
      <c r="O14" s="41"/>
      <c r="P14" s="41"/>
      <c r="Q14" s="41"/>
      <c r="R14" s="41"/>
      <c r="S14" s="41"/>
    </row>
    <row r="15" spans="1:20" x14ac:dyDescent="0.2">
      <c r="A15" s="98"/>
      <c r="B15" s="98"/>
      <c r="C15" s="98"/>
      <c r="D15" s="98"/>
      <c r="E15" s="43"/>
      <c r="F15" s="41"/>
      <c r="G15" s="41"/>
      <c r="H15" s="41"/>
      <c r="I15" s="41"/>
      <c r="J15" s="41"/>
      <c r="K15" s="41"/>
      <c r="L15" s="41"/>
      <c r="M15" s="41"/>
      <c r="N15" s="41"/>
      <c r="O15" s="41"/>
      <c r="P15" s="41"/>
      <c r="Q15" s="41"/>
      <c r="R15" s="41"/>
      <c r="S15" s="41"/>
    </row>
    <row r="16" spans="1:20" x14ac:dyDescent="0.2">
      <c r="A16" s="99"/>
      <c r="B16" s="43"/>
      <c r="C16" s="102"/>
      <c r="D16" s="103"/>
      <c r="E16" s="43"/>
      <c r="F16" s="41"/>
      <c r="G16" s="41"/>
      <c r="H16" s="41"/>
      <c r="I16" s="41"/>
      <c r="J16" s="41"/>
      <c r="K16" s="41"/>
      <c r="L16" s="41"/>
      <c r="M16" s="41"/>
      <c r="N16" s="41"/>
      <c r="O16" s="41"/>
      <c r="P16" s="41"/>
      <c r="Q16" s="41"/>
      <c r="R16" s="41"/>
      <c r="S16" s="41"/>
    </row>
    <row r="17" spans="1:19" x14ac:dyDescent="0.2">
      <c r="A17" s="99"/>
      <c r="B17" s="43"/>
      <c r="C17" s="102"/>
      <c r="D17" s="103"/>
      <c r="E17" s="43"/>
      <c r="F17" s="41"/>
      <c r="G17" s="41"/>
      <c r="H17" s="41"/>
      <c r="I17" s="41"/>
      <c r="J17" s="41"/>
      <c r="K17" s="41"/>
      <c r="L17" s="41"/>
      <c r="M17" s="41"/>
      <c r="N17" s="41"/>
      <c r="O17" s="41"/>
      <c r="P17" s="41"/>
      <c r="Q17" s="41"/>
      <c r="R17" s="41"/>
      <c r="S17" s="41"/>
    </row>
    <row r="18" spans="1:19" x14ac:dyDescent="0.2">
      <c r="A18" s="43"/>
      <c r="B18" s="43"/>
      <c r="C18" s="43"/>
      <c r="D18" s="43"/>
      <c r="E18" s="43"/>
      <c r="F18" s="41"/>
      <c r="G18" s="41"/>
      <c r="H18" s="41"/>
      <c r="I18" s="41"/>
      <c r="J18" s="41"/>
      <c r="K18" s="41"/>
      <c r="L18" s="41"/>
      <c r="M18" s="41"/>
      <c r="N18" s="41"/>
      <c r="O18" s="41"/>
      <c r="P18" s="41"/>
      <c r="Q18" s="41"/>
      <c r="R18" s="41"/>
      <c r="S18" s="41"/>
    </row>
    <row r="19" spans="1:19" x14ac:dyDescent="0.2">
      <c r="A19" s="43"/>
      <c r="B19" s="43"/>
      <c r="C19" s="43"/>
      <c r="D19" s="43"/>
      <c r="E19" s="43"/>
      <c r="F19" s="41"/>
      <c r="G19" s="41"/>
      <c r="H19" s="41"/>
      <c r="I19" s="41"/>
      <c r="J19" s="41"/>
      <c r="K19" s="41"/>
      <c r="L19" s="41"/>
      <c r="M19" s="41"/>
      <c r="N19" s="41"/>
      <c r="O19" s="41"/>
      <c r="P19" s="41"/>
      <c r="Q19" s="41"/>
      <c r="R19" s="41"/>
      <c r="S19" s="41"/>
    </row>
    <row r="20" spans="1:19" x14ac:dyDescent="0.2">
      <c r="A20" s="41"/>
      <c r="B20" s="41"/>
      <c r="C20" s="41"/>
      <c r="D20" s="41"/>
      <c r="E20" s="41"/>
      <c r="F20" s="41"/>
      <c r="G20" s="41"/>
      <c r="H20" s="41"/>
      <c r="I20" s="41"/>
      <c r="J20" s="41"/>
      <c r="K20" s="41"/>
      <c r="L20" s="41"/>
      <c r="M20" s="41"/>
      <c r="N20" s="41"/>
      <c r="O20" s="41"/>
      <c r="P20" s="41"/>
      <c r="Q20" s="41"/>
      <c r="R20" s="41"/>
      <c r="S20" s="41"/>
    </row>
    <row r="21" spans="1:19" x14ac:dyDescent="0.2">
      <c r="A21" s="41"/>
      <c r="B21" s="41"/>
      <c r="C21" s="41"/>
      <c r="D21" s="41"/>
      <c r="E21" s="41"/>
      <c r="F21" s="41"/>
      <c r="G21" s="41"/>
      <c r="H21" s="41"/>
      <c r="I21" s="41"/>
      <c r="J21" s="41"/>
      <c r="K21" s="41"/>
      <c r="L21" s="41"/>
      <c r="M21" s="41"/>
      <c r="N21" s="41"/>
      <c r="O21" s="41"/>
      <c r="P21" s="41"/>
      <c r="Q21" s="41"/>
      <c r="R21" s="41"/>
      <c r="S21" s="41"/>
    </row>
    <row r="22" spans="1:19" x14ac:dyDescent="0.2">
      <c r="A22" s="41"/>
      <c r="B22" s="41"/>
      <c r="C22" s="41"/>
      <c r="D22" s="41"/>
      <c r="E22" s="41"/>
      <c r="F22" s="41"/>
      <c r="G22" s="41"/>
      <c r="H22" s="41"/>
      <c r="I22" s="41"/>
      <c r="J22" s="41"/>
      <c r="K22" s="41"/>
      <c r="L22" s="41"/>
      <c r="M22" s="41"/>
      <c r="N22" s="41"/>
      <c r="O22" s="41"/>
      <c r="P22" s="41"/>
      <c r="Q22" s="41"/>
      <c r="R22" s="41"/>
      <c r="S22" s="41"/>
    </row>
    <row r="23" spans="1:19" x14ac:dyDescent="0.2">
      <c r="A23" s="41"/>
      <c r="B23" s="41"/>
      <c r="C23" s="41"/>
      <c r="D23" s="41"/>
      <c r="E23" s="41"/>
      <c r="F23" s="41"/>
      <c r="G23" s="41"/>
      <c r="H23" s="41"/>
      <c r="I23" s="41"/>
      <c r="J23" s="41"/>
      <c r="K23" s="41"/>
      <c r="L23" s="41"/>
      <c r="M23" s="41"/>
      <c r="N23" s="41"/>
      <c r="O23" s="41"/>
      <c r="P23" s="41"/>
      <c r="Q23" s="41"/>
      <c r="R23" s="41"/>
      <c r="S23" s="41"/>
    </row>
    <row r="24" spans="1:19" x14ac:dyDescent="0.2">
      <c r="A24" s="41"/>
      <c r="B24" s="41"/>
      <c r="C24" s="41"/>
      <c r="D24" s="41"/>
      <c r="E24" s="41"/>
      <c r="F24" s="41"/>
      <c r="G24" s="41"/>
      <c r="H24" s="41"/>
      <c r="I24" s="41"/>
      <c r="J24" s="41"/>
      <c r="K24" s="41"/>
      <c r="L24" s="41"/>
      <c r="M24" s="41"/>
      <c r="N24" s="41"/>
      <c r="O24" s="41"/>
      <c r="P24" s="41"/>
      <c r="Q24" s="41"/>
      <c r="R24" s="41"/>
      <c r="S24" s="41"/>
    </row>
    <row r="25" spans="1:19" x14ac:dyDescent="0.2">
      <c r="A25" s="41"/>
      <c r="B25" s="41"/>
      <c r="C25" s="41"/>
      <c r="D25" s="41"/>
      <c r="E25" s="41"/>
      <c r="F25" s="41"/>
      <c r="G25" s="41"/>
      <c r="H25" s="41"/>
      <c r="I25" s="41"/>
      <c r="J25" s="41"/>
      <c r="K25" s="41"/>
      <c r="L25" s="41"/>
      <c r="M25" s="41"/>
      <c r="N25" s="41"/>
      <c r="O25" s="41"/>
      <c r="P25" s="41"/>
      <c r="Q25" s="41"/>
      <c r="R25" s="41"/>
      <c r="S25" s="41"/>
    </row>
    <row r="26" spans="1:19" x14ac:dyDescent="0.2">
      <c r="A26" s="41"/>
      <c r="B26" s="41"/>
      <c r="C26" s="41"/>
      <c r="D26" s="41"/>
      <c r="E26" s="41"/>
      <c r="F26" s="41"/>
      <c r="G26" s="41"/>
      <c r="H26" s="41"/>
      <c r="I26" s="41"/>
      <c r="J26" s="41"/>
      <c r="K26" s="41"/>
      <c r="L26" s="41"/>
      <c r="M26" s="41"/>
      <c r="N26" s="41"/>
      <c r="O26" s="41"/>
      <c r="P26" s="41"/>
      <c r="Q26" s="41"/>
      <c r="R26" s="41"/>
      <c r="S26" s="41"/>
    </row>
    <row r="27" spans="1:19" x14ac:dyDescent="0.2">
      <c r="A27" s="41"/>
      <c r="B27" s="41"/>
      <c r="C27" s="41"/>
      <c r="D27" s="41"/>
      <c r="E27" s="41"/>
      <c r="F27" s="41"/>
      <c r="G27" s="41"/>
      <c r="H27" s="41"/>
      <c r="I27" s="41"/>
      <c r="J27" s="41"/>
      <c r="K27" s="41"/>
      <c r="L27" s="41"/>
      <c r="M27" s="41"/>
      <c r="N27" s="41"/>
      <c r="O27" s="41"/>
      <c r="P27" s="41"/>
      <c r="Q27" s="41"/>
      <c r="R27" s="41"/>
      <c r="S27" s="41"/>
    </row>
    <row r="28" spans="1:19" x14ac:dyDescent="0.2">
      <c r="A28" s="41"/>
      <c r="B28" s="41"/>
      <c r="C28" s="41"/>
      <c r="D28" s="41"/>
      <c r="E28" s="41"/>
      <c r="F28" s="41"/>
      <c r="G28" s="41"/>
      <c r="H28" s="41"/>
      <c r="I28" s="41"/>
      <c r="J28" s="41"/>
      <c r="K28" s="41"/>
      <c r="L28" s="41"/>
      <c r="M28" s="41"/>
      <c r="N28" s="41"/>
      <c r="O28" s="41"/>
      <c r="P28" s="41"/>
      <c r="Q28" s="41"/>
      <c r="R28" s="41"/>
      <c r="S28" s="41"/>
    </row>
    <row r="29" spans="1:19" x14ac:dyDescent="0.2">
      <c r="A29" s="41"/>
      <c r="B29" s="41"/>
      <c r="C29" s="41"/>
      <c r="D29" s="41"/>
      <c r="E29" s="41"/>
      <c r="F29" s="41"/>
      <c r="G29" s="41"/>
      <c r="H29" s="41"/>
      <c r="I29" s="41"/>
      <c r="J29" s="41"/>
      <c r="K29" s="41"/>
      <c r="L29" s="41"/>
      <c r="M29" s="41"/>
      <c r="N29" s="41"/>
      <c r="O29" s="41"/>
      <c r="P29" s="41"/>
      <c r="Q29" s="41"/>
      <c r="R29" s="41"/>
      <c r="S29" s="41"/>
    </row>
    <row r="30" spans="1:19" x14ac:dyDescent="0.2">
      <c r="A30" s="41"/>
      <c r="B30" s="41"/>
      <c r="C30" s="41"/>
      <c r="D30" s="41"/>
      <c r="E30" s="41"/>
      <c r="F30" s="41"/>
      <c r="G30" s="41"/>
      <c r="H30" s="41"/>
      <c r="I30" s="41"/>
      <c r="J30" s="41"/>
      <c r="K30" s="41"/>
      <c r="L30" s="41"/>
      <c r="M30" s="41"/>
      <c r="N30" s="41"/>
      <c r="O30" s="41"/>
      <c r="P30" s="41"/>
      <c r="Q30" s="41"/>
      <c r="R30" s="41"/>
      <c r="S30" s="41"/>
    </row>
    <row r="31" spans="1:19" x14ac:dyDescent="0.2">
      <c r="A31" s="41"/>
      <c r="B31" s="41"/>
      <c r="C31" s="41"/>
      <c r="D31" s="41"/>
      <c r="E31" s="41"/>
      <c r="F31" s="41"/>
      <c r="G31" s="41"/>
      <c r="H31" s="41"/>
      <c r="I31" s="41"/>
      <c r="J31" s="41"/>
      <c r="K31" s="41"/>
      <c r="L31" s="41"/>
      <c r="M31" s="41"/>
      <c r="N31" s="41"/>
      <c r="O31" s="41"/>
      <c r="P31" s="41"/>
      <c r="Q31" s="41"/>
      <c r="R31" s="41"/>
      <c r="S31" s="41"/>
    </row>
    <row r="32" spans="1:19" x14ac:dyDescent="0.2">
      <c r="A32" s="41"/>
      <c r="B32" s="41"/>
      <c r="C32" s="41"/>
      <c r="D32" s="41"/>
      <c r="E32" s="41"/>
      <c r="F32" s="41"/>
      <c r="G32" s="41"/>
      <c r="H32" s="41"/>
      <c r="I32" s="41"/>
      <c r="J32" s="41"/>
      <c r="K32" s="41"/>
      <c r="L32" s="41"/>
      <c r="M32" s="41"/>
      <c r="N32" s="41"/>
      <c r="O32" s="41"/>
      <c r="P32" s="41"/>
      <c r="Q32" s="41"/>
      <c r="R32" s="41"/>
      <c r="S32" s="41"/>
    </row>
    <row r="33" spans="1:19" x14ac:dyDescent="0.2">
      <c r="A33" s="41"/>
      <c r="B33" s="41"/>
      <c r="C33" s="41"/>
      <c r="D33" s="41"/>
      <c r="E33" s="41"/>
      <c r="F33" s="41"/>
      <c r="G33" s="41"/>
      <c r="H33" s="41"/>
      <c r="I33" s="41"/>
      <c r="J33" s="41"/>
      <c r="K33" s="41"/>
      <c r="L33" s="41"/>
      <c r="M33" s="41"/>
      <c r="N33" s="41"/>
      <c r="O33" s="41"/>
      <c r="P33" s="41"/>
      <c r="Q33" s="41"/>
      <c r="R33" s="41"/>
      <c r="S33" s="41"/>
    </row>
    <row r="34" spans="1:19" x14ac:dyDescent="0.2">
      <c r="A34" s="41"/>
      <c r="B34" s="41"/>
      <c r="C34" s="41"/>
      <c r="D34" s="41"/>
      <c r="E34" s="41"/>
      <c r="F34" s="41"/>
      <c r="G34" s="41"/>
      <c r="H34" s="41"/>
      <c r="I34" s="41"/>
      <c r="J34" s="41"/>
      <c r="K34" s="41"/>
      <c r="L34" s="41"/>
      <c r="M34" s="41"/>
      <c r="N34" s="41"/>
      <c r="O34" s="41"/>
      <c r="P34" s="41"/>
      <c r="Q34" s="41"/>
      <c r="R34" s="41"/>
      <c r="S34" s="41"/>
    </row>
    <row r="35" spans="1:19" x14ac:dyDescent="0.2">
      <c r="A35" s="41"/>
      <c r="B35" s="41"/>
      <c r="C35" s="41"/>
      <c r="D35" s="41"/>
      <c r="E35" s="41"/>
      <c r="F35" s="41"/>
      <c r="G35" s="41"/>
      <c r="H35" s="41"/>
      <c r="I35" s="41"/>
      <c r="J35" s="41"/>
      <c r="K35" s="41"/>
      <c r="L35" s="41"/>
      <c r="M35" s="41"/>
      <c r="N35" s="41"/>
      <c r="O35" s="41"/>
      <c r="P35" s="41"/>
      <c r="Q35" s="41"/>
      <c r="R35" s="41"/>
      <c r="S35" s="41"/>
    </row>
    <row r="36" spans="1:19" x14ac:dyDescent="0.2">
      <c r="A36" s="41"/>
      <c r="B36" s="41"/>
      <c r="C36" s="41"/>
      <c r="D36" s="41"/>
      <c r="E36" s="41"/>
      <c r="F36" s="41"/>
      <c r="G36" s="41"/>
      <c r="H36" s="41"/>
      <c r="I36" s="41"/>
      <c r="J36" s="41"/>
      <c r="K36" s="41"/>
      <c r="L36" s="41"/>
      <c r="M36" s="41"/>
      <c r="N36" s="41"/>
      <c r="O36" s="41"/>
      <c r="P36" s="41"/>
      <c r="Q36" s="41"/>
      <c r="R36" s="41"/>
      <c r="S36" s="41"/>
    </row>
    <row r="37" spans="1:19" x14ac:dyDescent="0.2">
      <c r="A37" s="41"/>
      <c r="B37" s="41"/>
      <c r="C37" s="41"/>
      <c r="D37" s="41"/>
      <c r="E37" s="41"/>
      <c r="F37" s="41"/>
      <c r="G37" s="41"/>
      <c r="H37" s="41"/>
      <c r="I37" s="41"/>
      <c r="J37" s="41"/>
      <c r="K37" s="41"/>
      <c r="L37" s="41"/>
      <c r="M37" s="41"/>
      <c r="N37" s="41"/>
      <c r="O37" s="41"/>
      <c r="P37" s="41"/>
      <c r="Q37" s="41"/>
      <c r="R37" s="41"/>
      <c r="S37" s="41"/>
    </row>
    <row r="38" spans="1:19" x14ac:dyDescent="0.2">
      <c r="A38" s="41"/>
      <c r="B38" s="41"/>
      <c r="C38" s="41"/>
      <c r="D38" s="41"/>
      <c r="E38" s="41"/>
      <c r="F38" s="41"/>
      <c r="G38" s="41"/>
      <c r="H38" s="41"/>
      <c r="I38" s="41"/>
      <c r="J38" s="41"/>
      <c r="K38" s="41"/>
      <c r="L38" s="41"/>
      <c r="M38" s="41"/>
      <c r="N38" s="41"/>
      <c r="O38" s="41"/>
      <c r="P38" s="41"/>
      <c r="Q38" s="41"/>
      <c r="R38" s="41"/>
      <c r="S38" s="41"/>
    </row>
    <row r="39" spans="1:19" x14ac:dyDescent="0.2">
      <c r="A39" s="41"/>
      <c r="B39" s="41"/>
      <c r="C39" s="41"/>
      <c r="D39" s="41"/>
      <c r="E39" s="41"/>
      <c r="F39" s="41"/>
      <c r="G39" s="41"/>
      <c r="H39" s="41"/>
      <c r="I39" s="41"/>
      <c r="J39" s="41"/>
      <c r="K39" s="41"/>
      <c r="L39" s="41"/>
      <c r="M39" s="41"/>
      <c r="N39" s="41"/>
      <c r="O39" s="41"/>
      <c r="P39" s="41"/>
      <c r="Q39" s="41"/>
      <c r="R39" s="41"/>
      <c r="S39" s="41"/>
    </row>
    <row r="40" spans="1:19" x14ac:dyDescent="0.2">
      <c r="A40" s="41"/>
      <c r="B40" s="41"/>
      <c r="C40" s="41"/>
      <c r="D40" s="41"/>
      <c r="E40" s="41"/>
      <c r="F40" s="41"/>
      <c r="G40" s="41"/>
      <c r="H40" s="41"/>
      <c r="I40" s="41"/>
      <c r="J40" s="41"/>
      <c r="K40" s="41"/>
      <c r="L40" s="41"/>
      <c r="M40" s="41"/>
      <c r="N40" s="41"/>
      <c r="O40" s="41"/>
      <c r="P40" s="41"/>
      <c r="Q40" s="41"/>
      <c r="R40" s="41"/>
      <c r="S40" s="41"/>
    </row>
    <row r="41" spans="1:19" x14ac:dyDescent="0.2">
      <c r="A41" s="41"/>
      <c r="B41" s="41"/>
      <c r="C41" s="41"/>
      <c r="D41" s="41"/>
      <c r="E41" s="41"/>
      <c r="F41" s="41"/>
      <c r="G41" s="41"/>
      <c r="H41" s="41"/>
      <c r="I41" s="41"/>
      <c r="J41" s="41"/>
      <c r="K41" s="41"/>
      <c r="L41" s="41"/>
      <c r="M41" s="41"/>
      <c r="N41" s="41"/>
      <c r="O41" s="41"/>
      <c r="P41" s="41"/>
      <c r="Q41" s="41"/>
      <c r="R41" s="41"/>
      <c r="S41" s="41"/>
    </row>
    <row r="42" spans="1:19" x14ac:dyDescent="0.2">
      <c r="A42" s="41"/>
      <c r="B42" s="41"/>
      <c r="C42" s="41"/>
      <c r="D42" s="41"/>
      <c r="E42" s="41"/>
      <c r="F42" s="41"/>
      <c r="G42" s="41"/>
      <c r="H42" s="41"/>
      <c r="I42" s="41"/>
      <c r="J42" s="41"/>
      <c r="K42" s="41"/>
      <c r="L42" s="41"/>
      <c r="M42" s="41"/>
      <c r="N42" s="41"/>
      <c r="O42" s="41"/>
      <c r="P42" s="41"/>
      <c r="Q42" s="41"/>
      <c r="R42" s="41"/>
      <c r="S42" s="41"/>
    </row>
    <row r="43" spans="1:19" x14ac:dyDescent="0.2">
      <c r="A43" s="41"/>
      <c r="B43" s="41"/>
      <c r="C43" s="41"/>
      <c r="D43" s="41"/>
      <c r="E43" s="41"/>
      <c r="F43" s="41"/>
      <c r="G43" s="41"/>
      <c r="H43" s="41"/>
      <c r="I43" s="41"/>
      <c r="J43" s="41"/>
      <c r="K43" s="41"/>
      <c r="L43" s="41"/>
      <c r="M43" s="41"/>
      <c r="N43" s="41"/>
      <c r="O43" s="41"/>
      <c r="P43" s="41"/>
      <c r="Q43" s="41"/>
      <c r="R43" s="41"/>
      <c r="S43" s="41"/>
    </row>
    <row r="44" spans="1:19" x14ac:dyDescent="0.2">
      <c r="A44" s="41"/>
      <c r="B44" s="41"/>
      <c r="C44" s="41"/>
      <c r="D44" s="41"/>
      <c r="E44" s="41"/>
      <c r="F44" s="41"/>
      <c r="G44" s="41"/>
      <c r="H44" s="41"/>
      <c r="I44" s="41"/>
      <c r="J44" s="41"/>
      <c r="K44" s="41"/>
      <c r="L44" s="41"/>
      <c r="M44" s="41"/>
      <c r="N44" s="41"/>
      <c r="O44" s="41"/>
      <c r="P44" s="41"/>
      <c r="Q44" s="41"/>
      <c r="R44" s="41"/>
      <c r="S44" s="41"/>
    </row>
    <row r="45" spans="1:19" x14ac:dyDescent="0.2">
      <c r="A45" s="41"/>
      <c r="B45" s="41"/>
      <c r="C45" s="41"/>
      <c r="D45" s="41"/>
      <c r="E45" s="41"/>
      <c r="F45" s="41"/>
      <c r="G45" s="41"/>
      <c r="H45" s="41"/>
      <c r="I45" s="41"/>
      <c r="J45" s="41"/>
      <c r="K45" s="41"/>
      <c r="L45" s="41"/>
      <c r="M45" s="41"/>
      <c r="N45" s="41"/>
      <c r="O45" s="41"/>
      <c r="P45" s="41"/>
      <c r="Q45" s="41"/>
      <c r="R45" s="41"/>
      <c r="S45" s="41"/>
    </row>
    <row r="46" spans="1:19" x14ac:dyDescent="0.2">
      <c r="A46" s="41"/>
      <c r="B46" s="41"/>
      <c r="C46" s="41"/>
      <c r="D46" s="41"/>
      <c r="E46" s="41"/>
      <c r="F46" s="41"/>
      <c r="G46" s="41"/>
      <c r="H46" s="41"/>
      <c r="I46" s="41"/>
      <c r="J46" s="41"/>
      <c r="K46" s="41"/>
      <c r="L46" s="41"/>
      <c r="M46" s="41"/>
      <c r="N46" s="41"/>
      <c r="O46" s="41"/>
      <c r="P46" s="41"/>
      <c r="Q46" s="41"/>
      <c r="R46" s="41"/>
      <c r="S46" s="41"/>
    </row>
    <row r="47" spans="1:19" x14ac:dyDescent="0.2">
      <c r="A47" s="41"/>
      <c r="B47" s="41"/>
      <c r="C47" s="41"/>
      <c r="D47" s="41"/>
      <c r="E47" s="41"/>
      <c r="F47" s="41"/>
      <c r="G47" s="41"/>
      <c r="H47" s="41"/>
      <c r="I47" s="41"/>
      <c r="J47" s="41"/>
      <c r="K47" s="41"/>
      <c r="L47" s="41"/>
      <c r="M47" s="41"/>
      <c r="N47" s="41"/>
      <c r="O47" s="41"/>
      <c r="P47" s="41"/>
      <c r="Q47" s="41"/>
      <c r="R47" s="41"/>
      <c r="S47" s="41"/>
    </row>
    <row r="48" spans="1:19" x14ac:dyDescent="0.2">
      <c r="A48" s="41"/>
      <c r="B48" s="41"/>
      <c r="C48" s="41"/>
      <c r="D48" s="41"/>
      <c r="E48" s="41"/>
      <c r="F48" s="41"/>
      <c r="G48" s="41"/>
      <c r="H48" s="41"/>
      <c r="I48" s="41"/>
      <c r="J48" s="41"/>
      <c r="K48" s="41"/>
      <c r="L48" s="41"/>
      <c r="M48" s="41"/>
      <c r="N48" s="41"/>
      <c r="O48" s="41"/>
      <c r="P48" s="41"/>
      <c r="Q48" s="41"/>
      <c r="R48" s="41"/>
      <c r="S48" s="41"/>
    </row>
    <row r="49" spans="1:19" x14ac:dyDescent="0.2">
      <c r="A49" s="41"/>
      <c r="B49" s="41"/>
      <c r="C49" s="41"/>
      <c r="D49" s="41"/>
      <c r="E49" s="41"/>
      <c r="F49" s="41"/>
      <c r="G49" s="41"/>
      <c r="H49" s="41"/>
      <c r="I49" s="41"/>
      <c r="J49" s="41"/>
      <c r="K49" s="41"/>
      <c r="L49" s="41"/>
      <c r="M49" s="41"/>
      <c r="N49" s="41"/>
      <c r="O49" s="41"/>
      <c r="P49" s="41"/>
      <c r="Q49" s="41"/>
      <c r="R49" s="41"/>
      <c r="S49" s="41"/>
    </row>
    <row r="50" spans="1:19" x14ac:dyDescent="0.2">
      <c r="A50" s="41"/>
      <c r="B50" s="41"/>
      <c r="C50" s="41"/>
      <c r="D50" s="41"/>
      <c r="E50" s="41"/>
      <c r="F50" s="41"/>
      <c r="G50" s="41"/>
      <c r="H50" s="41"/>
      <c r="I50" s="41"/>
      <c r="J50" s="41"/>
      <c r="K50" s="41"/>
      <c r="L50" s="41"/>
      <c r="M50" s="41"/>
      <c r="N50" s="41"/>
      <c r="O50" s="41"/>
      <c r="P50" s="41"/>
      <c r="Q50" s="41"/>
      <c r="R50" s="41"/>
      <c r="S50" s="41"/>
    </row>
    <row r="51" spans="1:19" x14ac:dyDescent="0.2">
      <c r="A51" s="41"/>
      <c r="B51" s="41"/>
      <c r="C51" s="41"/>
      <c r="D51" s="41"/>
      <c r="E51" s="41"/>
      <c r="F51" s="41"/>
      <c r="G51" s="41"/>
      <c r="H51" s="41"/>
      <c r="I51" s="41"/>
      <c r="J51" s="41"/>
      <c r="K51" s="41"/>
      <c r="L51" s="41"/>
      <c r="M51" s="41"/>
      <c r="N51" s="41"/>
      <c r="O51" s="41"/>
      <c r="P51" s="41"/>
      <c r="Q51" s="41"/>
      <c r="R51" s="41"/>
      <c r="S51" s="41"/>
    </row>
    <row r="52" spans="1:19" x14ac:dyDescent="0.2">
      <c r="A52" s="41"/>
      <c r="B52" s="41"/>
      <c r="C52" s="41"/>
      <c r="D52" s="41"/>
      <c r="E52" s="41"/>
      <c r="F52" s="41"/>
      <c r="G52" s="41"/>
      <c r="H52" s="41"/>
      <c r="I52" s="41"/>
      <c r="J52" s="41"/>
      <c r="K52" s="41"/>
      <c r="L52" s="41"/>
      <c r="M52" s="41"/>
      <c r="N52" s="41"/>
      <c r="O52" s="41"/>
      <c r="P52" s="41"/>
      <c r="Q52" s="41"/>
      <c r="R52" s="41"/>
      <c r="S52" s="41"/>
    </row>
    <row r="53" spans="1:19" x14ac:dyDescent="0.2">
      <c r="A53" s="41"/>
      <c r="B53" s="41"/>
      <c r="C53" s="41"/>
      <c r="D53" s="41"/>
      <c r="E53" s="41"/>
      <c r="F53" s="41"/>
      <c r="G53" s="41"/>
      <c r="H53" s="41"/>
      <c r="I53" s="41"/>
      <c r="J53" s="41"/>
      <c r="K53" s="41"/>
      <c r="L53" s="41"/>
      <c r="M53" s="41"/>
      <c r="N53" s="41"/>
      <c r="O53" s="41"/>
      <c r="P53" s="41"/>
      <c r="Q53" s="41"/>
      <c r="R53" s="41"/>
      <c r="S53" s="41"/>
    </row>
    <row r="54" spans="1:19" x14ac:dyDescent="0.2">
      <c r="A54" s="41"/>
      <c r="B54" s="41"/>
      <c r="C54" s="41"/>
      <c r="D54" s="41"/>
      <c r="E54" s="41"/>
      <c r="F54" s="41"/>
      <c r="G54" s="41"/>
      <c r="H54" s="41"/>
      <c r="I54" s="41"/>
      <c r="J54" s="41"/>
      <c r="K54" s="41"/>
      <c r="L54" s="41"/>
      <c r="M54" s="41"/>
      <c r="N54" s="41"/>
      <c r="O54" s="41"/>
      <c r="P54" s="41"/>
      <c r="Q54" s="41"/>
      <c r="R54" s="41"/>
      <c r="S54" s="41"/>
    </row>
    <row r="55" spans="1:19" x14ac:dyDescent="0.2">
      <c r="A55" s="41"/>
      <c r="B55" s="41"/>
      <c r="C55" s="41"/>
      <c r="D55" s="41"/>
      <c r="E55" s="41"/>
      <c r="F55" s="41"/>
      <c r="G55" s="41"/>
      <c r="H55" s="41"/>
      <c r="I55" s="41"/>
      <c r="J55" s="41"/>
      <c r="K55" s="41"/>
      <c r="L55" s="41"/>
      <c r="M55" s="41"/>
      <c r="N55" s="41"/>
      <c r="O55" s="41"/>
      <c r="P55" s="41"/>
      <c r="Q55" s="41"/>
      <c r="R55" s="41"/>
      <c r="S55" s="41"/>
    </row>
    <row r="56" spans="1:19" x14ac:dyDescent="0.2">
      <c r="A56" s="41"/>
      <c r="B56" s="41"/>
      <c r="C56" s="41"/>
      <c r="D56" s="41"/>
      <c r="E56" s="41"/>
      <c r="F56" s="41"/>
      <c r="G56" s="41"/>
      <c r="H56" s="41"/>
      <c r="I56" s="41"/>
      <c r="J56" s="41"/>
      <c r="K56" s="41"/>
      <c r="L56" s="41"/>
      <c r="M56" s="41"/>
      <c r="N56" s="41"/>
      <c r="O56" s="41"/>
      <c r="P56" s="41"/>
      <c r="Q56" s="41"/>
      <c r="R56" s="41"/>
      <c r="S56" s="41"/>
    </row>
    <row r="57" spans="1:19" x14ac:dyDescent="0.2">
      <c r="A57" s="41"/>
      <c r="B57" s="41"/>
      <c r="C57" s="41"/>
      <c r="D57" s="41"/>
      <c r="E57" s="41"/>
      <c r="F57" s="41"/>
      <c r="G57" s="41"/>
      <c r="H57" s="41"/>
      <c r="I57" s="41"/>
      <c r="J57" s="41"/>
      <c r="K57" s="41"/>
      <c r="L57" s="41"/>
      <c r="M57" s="41"/>
      <c r="N57" s="41"/>
      <c r="O57" s="41"/>
      <c r="P57" s="41"/>
      <c r="Q57" s="41"/>
      <c r="R57" s="41"/>
      <c r="S57" s="41"/>
    </row>
    <row r="66" spans="2:2" x14ac:dyDescent="0.2">
      <c r="B66" s="104"/>
    </row>
    <row r="67" spans="2:2" x14ac:dyDescent="0.2">
      <c r="B67" s="104"/>
    </row>
    <row r="68" spans="2:2" x14ac:dyDescent="0.2">
      <c r="B68" s="104"/>
    </row>
    <row r="69" spans="2:2" x14ac:dyDescent="0.2">
      <c r="B69" s="104"/>
    </row>
    <row r="70" spans="2:2" x14ac:dyDescent="0.2">
      <c r="B70" s="104"/>
    </row>
    <row r="71" spans="2:2" x14ac:dyDescent="0.2">
      <c r="B71" s="104"/>
    </row>
    <row r="72" spans="2:2" x14ac:dyDescent="0.2">
      <c r="B72" s="104"/>
    </row>
    <row r="73" spans="2:2" x14ac:dyDescent="0.2">
      <c r="B73" s="104"/>
    </row>
    <row r="74" spans="2:2" x14ac:dyDescent="0.2">
      <c r="B74" s="104"/>
    </row>
    <row r="75" spans="2:2" x14ac:dyDescent="0.2">
      <c r="B75" s="104"/>
    </row>
    <row r="76" spans="2:2" x14ac:dyDescent="0.2">
      <c r="B76" s="104"/>
    </row>
    <row r="135" spans="1:3" x14ac:dyDescent="0.2">
      <c r="A135" s="39" t="s">
        <v>9</v>
      </c>
    </row>
    <row r="136" spans="1:3" x14ac:dyDescent="0.2">
      <c r="C136" s="105">
        <v>1.46738701E-2</v>
      </c>
    </row>
  </sheetData>
  <sheetProtection selectLockedCells="1"/>
  <mergeCells count="3">
    <mergeCell ref="A10:I11"/>
    <mergeCell ref="J10:J11"/>
    <mergeCell ref="M8:O11"/>
  </mergeCells>
  <phoneticPr fontId="3" type="noConversion"/>
  <conditionalFormatting sqref="J10:J11">
    <cfRule type="containsText" dxfId="1" priority="1" operator="containsText" text="FAIL">
      <formula>NOT(ISERROR(SEARCH("FAIL",J10)))</formula>
    </cfRule>
    <cfRule type="containsText" dxfId="0" priority="2" operator="containsText" text="PASS">
      <formula>NOT(ISERROR(SEARCH("PASS",J10)))</formula>
    </cfRule>
  </conditionalFormatting>
  <dataValidations count="2">
    <dataValidation type="list" allowBlank="1" showInputMessage="1" showErrorMessage="1" sqref="D6">
      <formula1>type_list</formula1>
    </dataValidation>
    <dataValidation type="list" allowBlank="1" showInputMessage="1" showErrorMessage="1" sqref="H6">
      <formula1>Mode_List</formula1>
    </dataValidation>
  </dataValidations>
  <pageMargins left="0.79" right="0.52" top="0.66" bottom="0.53" header="0.43" footer="0.3"/>
  <pageSetup scale="29" orientation="landscape" r:id="rId1"/>
  <headerFooter alignWithMargins="0">
    <oddHeader>&amp;L&amp;"Arial,Bold"Minority Carrier Lifetime Measurement&amp;C&amp;"Arial,Bold"&amp;F</oddHeader>
    <oddFooter>&amp;LFilename: &amp;F&amp;CPrinted:&amp;D &amp;T&amp;RSinton Lifetime Tester Copyright 2001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99" r:id="rId4" name="Button 99">
              <controlPr defaultSize="0" print="0" autoFill="0" autoPict="0" macro="[0]!RescaleInverse">
                <anchor>
                  <from>
                    <xdr:col>12</xdr:col>
                    <xdr:colOff>104775</xdr:colOff>
                    <xdr:row>11</xdr:row>
                    <xdr:rowOff>28575</xdr:rowOff>
                  </from>
                  <to>
                    <xdr:col>13</xdr:col>
                    <xdr:colOff>0</xdr:colOff>
                    <xdr:row>13</xdr:row>
                    <xdr:rowOff>104775</xdr:rowOff>
                  </to>
                </anchor>
              </controlPr>
            </control>
          </mc:Choice>
        </mc:AlternateContent>
        <mc:AlternateContent xmlns:mc="http://schemas.openxmlformats.org/markup-compatibility/2006">
          <mc:Choice Requires="x14">
            <control shapeId="51300" r:id="rId5" name="Button 100">
              <controlPr defaultSize="0" print="0" autoFill="0" autoPict="0" macro="[0]!RescaleLifetime">
                <anchor>
                  <from>
                    <xdr:col>12</xdr:col>
                    <xdr:colOff>85725</xdr:colOff>
                    <xdr:row>33</xdr:row>
                    <xdr:rowOff>28575</xdr:rowOff>
                  </from>
                  <to>
                    <xdr:col>12</xdr:col>
                    <xdr:colOff>733425</xdr:colOff>
                    <xdr:row>35</xdr:row>
                    <xdr:rowOff>114300</xdr:rowOff>
                  </to>
                </anchor>
              </controlPr>
            </control>
          </mc:Choice>
        </mc:AlternateContent>
        <mc:AlternateContent xmlns:mc="http://schemas.openxmlformats.org/markup-compatibility/2006">
          <mc:Choice Requires="x14">
            <control shapeId="51322" r:id="rId6" name="Spinner 122">
              <controlPr defaultSize="0" autoPict="0" macro="[0]!Spinner122_Change">
                <anchor>
                  <from>
                    <xdr:col>9</xdr:col>
                    <xdr:colOff>0</xdr:colOff>
                    <xdr:row>0</xdr:row>
                    <xdr:rowOff>104775</xdr:rowOff>
                  </from>
                  <to>
                    <xdr:col>9</xdr:col>
                    <xdr:colOff>381000</xdr:colOff>
                    <xdr:row>2</xdr:row>
                    <xdr:rowOff>85725</xdr:rowOff>
                  </to>
                </anchor>
              </controlPr>
            </control>
          </mc:Choice>
        </mc:AlternateContent>
      </controls>
    </mc:Choice>
  </mc:AlternateContent>
  <webPublishItems count="1">
    <webPublishItem id="5403" divId="QSS2PC99f_5403" sourceType="sheet" destinationFile="C:\Stu\Consulting\New XL Files\PCfiles\Page.htm"/>
  </webPublishItem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08"/>
  <sheetViews>
    <sheetView zoomScale="85" zoomScaleNormal="85" workbookViewId="0">
      <selection activeCell="A8" sqref="A8:C189"/>
    </sheetView>
  </sheetViews>
  <sheetFormatPr defaultColWidth="11.42578125" defaultRowHeight="12.75" x14ac:dyDescent="0.2"/>
  <cols>
    <col min="1" max="1" width="11.7109375" style="200" customWidth="1"/>
    <col min="2" max="2" width="13.85546875" style="200" customWidth="1"/>
    <col min="3" max="3" width="12" style="200" customWidth="1"/>
    <col min="4" max="4" width="11" style="200" customWidth="1"/>
    <col min="5" max="5" width="11.85546875" style="200" customWidth="1"/>
    <col min="6" max="6" width="13.42578125" style="200" customWidth="1"/>
    <col min="7" max="7" width="12" style="200" customWidth="1"/>
    <col min="8" max="8" width="13.85546875" style="200" customWidth="1"/>
    <col min="9" max="9" width="14" style="200" customWidth="1"/>
    <col min="10" max="10" width="14.5703125" style="200" customWidth="1"/>
    <col min="11" max="11" width="13.85546875" style="200" customWidth="1"/>
    <col min="12" max="12" width="14.5703125" style="200" customWidth="1"/>
    <col min="13" max="13" width="13.7109375" style="200" customWidth="1"/>
    <col min="14" max="14" width="13.28515625" style="200" customWidth="1"/>
    <col min="15" max="15" width="14.5703125" style="200" customWidth="1"/>
    <col min="16" max="16" width="12.85546875" style="200" customWidth="1"/>
    <col min="17" max="17" width="15.7109375" style="200" customWidth="1"/>
    <col min="18" max="18" width="13.42578125" style="200" customWidth="1"/>
    <col min="19" max="19" width="14" style="200" customWidth="1"/>
    <col min="20" max="20" width="15.42578125" style="200" customWidth="1"/>
    <col min="21" max="21" width="16.85546875" style="200" customWidth="1"/>
    <col min="22" max="22" width="17.5703125" style="200" customWidth="1"/>
    <col min="23" max="23" width="15.140625" style="200" customWidth="1"/>
    <col min="24" max="24" width="13.7109375" style="200" customWidth="1"/>
    <col min="25" max="25" width="13.140625" style="200" customWidth="1"/>
    <col min="26" max="26" width="12.42578125" style="200" customWidth="1"/>
    <col min="27" max="27" width="10.5703125" style="200" customWidth="1"/>
    <col min="28" max="28" width="14.85546875" style="200" customWidth="1"/>
    <col min="29" max="29" width="10.42578125" style="200" customWidth="1"/>
    <col min="30" max="30" width="13" style="200" bestFit="1" customWidth="1"/>
    <col min="31" max="31" width="12.85546875" style="200" customWidth="1"/>
    <col min="32" max="33" width="11.42578125" style="200"/>
    <col min="34" max="34" width="13" style="200" bestFit="1" customWidth="1"/>
    <col min="35" max="16384" width="11.42578125" style="200"/>
  </cols>
  <sheetData>
    <row r="1" spans="1:31" ht="19.5" customHeight="1" x14ac:dyDescent="0.25">
      <c r="A1" s="195" t="s">
        <v>156</v>
      </c>
      <c r="B1" s="196"/>
      <c r="C1" s="196"/>
      <c r="D1" s="196"/>
      <c r="E1" s="197" t="s">
        <v>15</v>
      </c>
      <c r="F1" s="198">
        <v>42866</v>
      </c>
      <c r="G1" s="199"/>
      <c r="H1" s="196"/>
      <c r="J1" s="196" t="s">
        <v>187</v>
      </c>
      <c r="K1" s="200" t="s">
        <v>36</v>
      </c>
      <c r="L1" s="201" t="s">
        <v>188</v>
      </c>
      <c r="M1" s="292" t="str">
        <f>"Lifetime = "&amp;K2&amp;" "&amp;L1&amp;" @ "&amp;J2&amp;" "&amp;L2</f>
        <v>Lifetime = 2.95 µs @ 1.0E+15 cm-3</v>
      </c>
      <c r="N1" s="292"/>
      <c r="O1" s="292"/>
      <c r="P1" s="196"/>
      <c r="Q1" s="202" t="s">
        <v>251</v>
      </c>
      <c r="R1" s="203" t="str">
        <f>IF(MAX(C9:C133)&gt;0.6,"  Saturated Reference Cell  - Data for MCD&gt; "&amp;J4&amp; " not valid ","")</f>
        <v/>
      </c>
      <c r="S1" s="201" t="s">
        <v>151</v>
      </c>
      <c r="T1" s="204" t="str">
        <f>IF(AND(PCRefRatio&gt;1000,AnalysisMode&lt;&gt;"Transient"),"Recommended Analysis Mode is Transient for this sample",IF(AND(PCRefRatio&lt;1000,AnalysisMode="Transient"),"Recommended Analysis Mode is Generalized for this sample",""))</f>
        <v/>
      </c>
      <c r="U1" s="196"/>
      <c r="V1" s="196"/>
      <c r="W1" s="201"/>
      <c r="X1" s="201"/>
      <c r="Y1" s="201"/>
      <c r="Z1" s="201"/>
    </row>
    <row r="2" spans="1:31" ht="15" x14ac:dyDescent="0.2">
      <c r="A2" s="202" t="s">
        <v>332</v>
      </c>
      <c r="B2" s="121"/>
      <c r="C2" s="205"/>
      <c r="D2" s="121"/>
      <c r="E2" s="206" t="s">
        <v>19</v>
      </c>
      <c r="F2" s="207">
        <v>0.43538194444444445</v>
      </c>
      <c r="G2" s="201"/>
      <c r="H2" s="208"/>
      <c r="I2" s="196" t="s">
        <v>186</v>
      </c>
      <c r="J2" s="208" t="str">
        <f>TEXT(SpecMCD,"0.0E+00")</f>
        <v>1.0E+15</v>
      </c>
      <c r="K2" s="201" t="str">
        <f>TEXT(MeasuredLifetime,"0.00")</f>
        <v>2.95</v>
      </c>
      <c r="L2" s="201" t="s">
        <v>345</v>
      </c>
      <c r="M2" s="201"/>
      <c r="N2" s="208"/>
      <c r="O2" s="201"/>
      <c r="P2" s="121"/>
      <c r="Q2" s="209" t="s">
        <v>252</v>
      </c>
      <c r="R2" s="203" t="str">
        <f>IF(OR(SpecMCD&gt;MaxApparentCD,SpecMCD&lt;MinApparentCD),"  Choose Specificed MCD within Data, Min MCD &lt; Spec MCD &lt; Max MCD","")</f>
        <v/>
      </c>
      <c r="S2" s="201" t="s">
        <v>313</v>
      </c>
      <c r="T2" s="196" t="str">
        <f>IF(AND(Temperature&gt;30,MobilityModel=DK),"Use Dorkel/ Leturqc mobility model for this analysis","")</f>
        <v>Use Dorkel/ Leturqc mobility model for this analysis</v>
      </c>
      <c r="U2" s="196"/>
      <c r="V2" s="196"/>
      <c r="W2" s="210"/>
      <c r="X2" s="210"/>
      <c r="Y2" s="210"/>
      <c r="Z2" s="210"/>
    </row>
    <row r="3" spans="1:31" x14ac:dyDescent="0.2">
      <c r="A3" s="199"/>
      <c r="B3" s="211"/>
      <c r="C3" s="196"/>
      <c r="D3" s="196"/>
      <c r="E3" s="206" t="s">
        <v>309</v>
      </c>
      <c r="F3" s="212">
        <v>50.360469000000002</v>
      </c>
      <c r="G3" s="201"/>
      <c r="H3" s="201"/>
      <c r="I3" s="201"/>
      <c r="J3" s="196" t="s">
        <v>265</v>
      </c>
      <c r="K3" s="201"/>
      <c r="L3" s="208"/>
      <c r="M3" s="201"/>
      <c r="N3" s="208"/>
      <c r="O3" s="201"/>
      <c r="P3" s="213"/>
      <c r="Q3" s="214" t="s">
        <v>253</v>
      </c>
      <c r="R3" s="203" t="str">
        <f>IF(BiasLight=0,"",IF(MAX(M9:M133)=0,"  Choose Bias Light within data  ",""))</f>
        <v/>
      </c>
      <c r="S3" s="201"/>
      <c r="T3" s="196"/>
      <c r="U3" s="196"/>
      <c r="V3" s="196"/>
      <c r="W3" s="210"/>
      <c r="X3" s="210"/>
      <c r="Y3" s="210"/>
      <c r="Z3" s="210"/>
    </row>
    <row r="4" spans="1:31" ht="15.75" customHeight="1" x14ac:dyDescent="0.2">
      <c r="A4" s="215"/>
      <c r="B4" s="196"/>
      <c r="C4" s="201"/>
      <c r="D4" s="215"/>
      <c r="E4" s="201"/>
      <c r="F4" s="196"/>
      <c r="G4" s="201"/>
      <c r="H4" s="201"/>
      <c r="I4" s="201"/>
      <c r="J4" s="196" t="str">
        <f>TEXT(AC6,"0.0E+00")</f>
        <v>0.0E+00</v>
      </c>
      <c r="K4" s="196"/>
      <c r="L4" s="205"/>
      <c r="M4" s="201"/>
      <c r="N4" s="121"/>
      <c r="O4" s="201"/>
      <c r="P4" s="215"/>
      <c r="Q4" s="202" t="s">
        <v>159</v>
      </c>
      <c r="R4" s="216" t="str">
        <f ca="1">IF(OR(Air_Voltage&lt;-0.95,Air_Voltage&gt;-0.5,(NOW()-ZeroInstTime)&gt;0.5,AirVStdev&gt;0.01),"  Remove Sample From Stage and Re-Zero Instrument  ","")</f>
        <v/>
      </c>
      <c r="S4" s="208"/>
      <c r="T4" s="208"/>
      <c r="U4" s="215"/>
      <c r="V4" s="196"/>
      <c r="W4" s="217"/>
      <c r="X4" s="201"/>
      <c r="Y4" s="201"/>
      <c r="Z4" s="201"/>
    </row>
    <row r="5" spans="1:31" ht="43.5" customHeight="1" x14ac:dyDescent="0.25">
      <c r="A5" s="218" t="s">
        <v>169</v>
      </c>
      <c r="B5" s="219" t="s">
        <v>170</v>
      </c>
      <c r="C5" s="219" t="s">
        <v>299</v>
      </c>
      <c r="D5" s="219" t="s">
        <v>16</v>
      </c>
      <c r="E5" s="219" t="s">
        <v>292</v>
      </c>
      <c r="F5" s="219" t="s">
        <v>31</v>
      </c>
      <c r="G5" s="219" t="s">
        <v>179</v>
      </c>
      <c r="H5" s="219" t="s">
        <v>180</v>
      </c>
      <c r="I5" s="219" t="s">
        <v>182</v>
      </c>
      <c r="J5" s="219" t="s">
        <v>178</v>
      </c>
      <c r="K5" s="220" t="s">
        <v>181</v>
      </c>
      <c r="L5" s="220" t="s">
        <v>183</v>
      </c>
      <c r="M5" s="219" t="s">
        <v>3</v>
      </c>
      <c r="N5" s="219" t="s">
        <v>17</v>
      </c>
      <c r="O5" s="219" t="s">
        <v>184</v>
      </c>
      <c r="P5" s="219" t="s">
        <v>173</v>
      </c>
      <c r="Q5" s="219" t="s">
        <v>174</v>
      </c>
      <c r="R5" s="219" t="s">
        <v>346</v>
      </c>
      <c r="S5" s="219" t="s">
        <v>298</v>
      </c>
      <c r="T5" s="219" t="s">
        <v>275</v>
      </c>
      <c r="U5" s="220" t="s">
        <v>276</v>
      </c>
      <c r="V5" s="219" t="s">
        <v>310</v>
      </c>
      <c r="W5" s="219" t="s">
        <v>311</v>
      </c>
      <c r="X5" s="219" t="s">
        <v>312</v>
      </c>
      <c r="Y5" s="219" t="s">
        <v>347</v>
      </c>
      <c r="Z5" s="220" t="s">
        <v>348</v>
      </c>
      <c r="AA5" s="219" t="s">
        <v>18</v>
      </c>
      <c r="AB5" s="219" t="s">
        <v>185</v>
      </c>
      <c r="AC5" s="220" t="s">
        <v>263</v>
      </c>
      <c r="AD5" s="219" t="s">
        <v>307</v>
      </c>
      <c r="AE5" s="221" t="s">
        <v>308</v>
      </c>
    </row>
    <row r="6" spans="1:31" x14ac:dyDescent="0.2">
      <c r="A6" s="222">
        <f>B166</f>
        <v>-0.21806200000000001</v>
      </c>
      <c r="B6" s="154">
        <f>CalcDarkSheetResistance(Dark_Voltage,A_cal,B_cal,C_cal)</f>
        <v>54.745694490315337</v>
      </c>
      <c r="C6" s="223">
        <f>SheetResistance*Thickness</f>
        <v>1.916099307161037</v>
      </c>
      <c r="D6" s="224">
        <f>calcdoping(InputResistivity,SampleType)</f>
        <v>5834517127358639</v>
      </c>
      <c r="E6" s="225">
        <f>SUMSQ(B9:B133)/SUMSQ(C9:C133)</f>
        <v>0.51496643884914328</v>
      </c>
      <c r="F6" s="154">
        <f>MAX(E9:E133)</f>
        <v>59.759460732363969</v>
      </c>
      <c r="G6" s="226">
        <f>SpecMCD*(1-Fit_Range)</f>
        <v>700000000000000</v>
      </c>
      <c r="H6" s="226">
        <f>SpecMCD*(1+Fit_Range)</f>
        <v>1300000000000000</v>
      </c>
      <c r="I6" s="227">
        <f>MIN($I$14:$I$133)</f>
        <v>2971453803248.3032</v>
      </c>
      <c r="J6" s="226">
        <f>MAX($I$9:$I$132)</f>
        <v>1384023143857424</v>
      </c>
      <c r="K6" s="227">
        <f>LOOKUP(2,1/(I9:I133=MaxApparentCD),A9:A133)</f>
        <v>3.5E-4</v>
      </c>
      <c r="L6" s="227">
        <f>LOOKUP(2,1/(I9:I133=MaxApparentCD),H9:H133)</f>
        <v>1.2712221263347284E-2</v>
      </c>
      <c r="M6" s="226">
        <f>IF(BiasLight=0,0,INTERCEPT($N18:$N130,$M18:$M130)+BiasLight*SLOPE($N18:$N130,$M18:$M130))</f>
        <v>0</v>
      </c>
      <c r="N6" s="226">
        <f>BiasPtCD-(BiasLight*0.038*OptConst)*MeasuredLifetimeAuger*0.000001/(1.6E-19*Thickness)</f>
        <v>0</v>
      </c>
      <c r="O6" s="227">
        <f>SpecMCD-Traps</f>
        <v>1000000000000000</v>
      </c>
      <c r="P6" s="156">
        <f>IF(MAX(R10:R131)=0,0,SLOPE(R10:R131,J10:J131))</f>
        <v>-4.0479682220150898E-11</v>
      </c>
      <c r="Q6" s="154">
        <f>IF(MAX(R10:R131)=0,0,INTERCEPT(R10:R130,J10:J130))</f>
        <v>379932.60475228523</v>
      </c>
      <c r="R6" s="156">
        <f>IF(MaxSuns&gt;0.1,1000000*1/(Q6+(SpecMCD)*P6),0)</f>
        <v>2.9459166017500849</v>
      </c>
      <c r="S6" s="156">
        <f>R6/1000000</f>
        <v>2.945916601750085E-6</v>
      </c>
      <c r="T6" s="228">
        <f>IF(MAX(T10:T131)=0,0,SLOPE(T10:T131,J10:J131))</f>
        <v>-4.0482929617929899E-11</v>
      </c>
      <c r="U6" s="156">
        <f>IF(MAX(T10:T131)=0,0,INTERCEPT(T10:T130,J10:J130))</f>
        <v>379934.1434901316</v>
      </c>
      <c r="V6" s="229">
        <f>IF(MaxSuns&gt;0.1,1000000*1/(FitInterceptAuger+(SpecMCD)*FitSlopeAuger),0)</f>
        <v>2.9459314303011599</v>
      </c>
      <c r="W6" s="227">
        <f>MeasuredLifetimeAuger/1000000</f>
        <v>2.9459314303011599E-6</v>
      </c>
      <c r="X6" s="227">
        <f>IF(MeasuredLifetimeAuger&gt;0,1000000/MeasuredLifetimeAuger,0)</f>
        <v>339451.21387220168</v>
      </c>
      <c r="Y6" s="230">
        <f>IF(MaxSuns&gt;0.1,1000000/(FitInterceptAuger-(FitSlopeAuger*(SampleDoping-Traps))),0)</f>
        <v>1.6230275414758351</v>
      </c>
      <c r="Z6" s="156" t="str">
        <f>IF(AugerModel="Richter",SLOPE(W10:W131,J10:J131),"")</f>
        <v/>
      </c>
      <c r="AA6" s="228">
        <f>IF(AugerModel="Sinton",calcjo(FitSlopeAuger,Thickness),calcJoRichter(Thickness,Z6))</f>
        <v>-1.6790295059036426E-11</v>
      </c>
      <c r="AB6" s="231">
        <f ca="1">FORECAST(1,OFFSET(X9,MATCH(1,Y9:Y133,-1)-1,0,2),OFFSET(Y9,MATCH(1,Y9:Y133,-1)-1,0,2))</f>
        <v>0.53095315321454684</v>
      </c>
      <c r="AC6" s="232">
        <f>MIN(Z9:Z133)</f>
        <v>0</v>
      </c>
      <c r="AD6" s="233">
        <f>1/((1/SheetResistance)-(AD9*Temperature^3+AD10*Temperature^2+AD11*Temperature+AD12))</f>
        <v>81.407542707392437</v>
      </c>
      <c r="AE6" s="234">
        <f>AD6*Thickness</f>
        <v>2.8492639947587355</v>
      </c>
    </row>
    <row r="7" spans="1:31" s="201" customFormat="1" x14ac:dyDescent="0.2">
      <c r="A7" s="235"/>
      <c r="B7" s="196"/>
      <c r="C7" s="196"/>
      <c r="D7" s="235"/>
      <c r="K7" s="236"/>
      <c r="L7" s="237"/>
      <c r="M7" s="208"/>
      <c r="O7" s="208"/>
      <c r="S7" s="238"/>
      <c r="T7" s="235"/>
      <c r="U7" s="239"/>
      <c r="V7" s="196"/>
      <c r="W7" s="240"/>
    </row>
    <row r="8" spans="1:31" ht="42" customHeight="1" x14ac:dyDescent="0.2">
      <c r="A8" s="241" t="s">
        <v>272</v>
      </c>
      <c r="B8" s="242" t="s">
        <v>55</v>
      </c>
      <c r="C8" s="219" t="s">
        <v>56</v>
      </c>
      <c r="D8" s="219" t="s">
        <v>6</v>
      </c>
      <c r="E8" s="219" t="s">
        <v>4</v>
      </c>
      <c r="F8" s="219" t="s">
        <v>10</v>
      </c>
      <c r="G8" s="219" t="s">
        <v>5</v>
      </c>
      <c r="H8" s="220" t="s">
        <v>47</v>
      </c>
      <c r="I8" s="219" t="s">
        <v>176</v>
      </c>
      <c r="J8" s="219" t="s">
        <v>171</v>
      </c>
      <c r="K8" s="219" t="s">
        <v>8</v>
      </c>
      <c r="L8" s="219" t="s">
        <v>12</v>
      </c>
      <c r="M8" s="219" t="s">
        <v>7</v>
      </c>
      <c r="N8" s="219" t="s">
        <v>175</v>
      </c>
      <c r="O8" s="219" t="s">
        <v>11</v>
      </c>
      <c r="P8" s="219" t="s">
        <v>177</v>
      </c>
      <c r="Q8" s="220" t="s">
        <v>172</v>
      </c>
      <c r="R8" s="220" t="s">
        <v>277</v>
      </c>
      <c r="S8" s="219" t="s">
        <v>295</v>
      </c>
      <c r="T8" s="220" t="s">
        <v>296</v>
      </c>
      <c r="U8" s="219" t="s">
        <v>290</v>
      </c>
      <c r="V8" s="220" t="s">
        <v>291</v>
      </c>
      <c r="W8" s="220" t="s">
        <v>328</v>
      </c>
      <c r="X8" s="219" t="s">
        <v>274</v>
      </c>
      <c r="Y8" s="220" t="s">
        <v>273</v>
      </c>
      <c r="Z8" s="220" t="s">
        <v>264</v>
      </c>
      <c r="AA8" s="220" t="s">
        <v>300</v>
      </c>
      <c r="AB8" s="220" t="s">
        <v>301</v>
      </c>
      <c r="AC8" s="220" t="s">
        <v>302</v>
      </c>
      <c r="AD8" s="220" t="s">
        <v>303</v>
      </c>
      <c r="AE8" s="243" t="s">
        <v>304</v>
      </c>
    </row>
    <row r="9" spans="1:31" x14ac:dyDescent="0.2">
      <c r="A9" s="244">
        <v>5.0000000000000002E-5</v>
      </c>
      <c r="B9" s="244">
        <v>0.20377600000000001</v>
      </c>
      <c r="C9" s="245">
        <v>0.32536900000000002</v>
      </c>
      <c r="D9" s="246">
        <f>IF(CouplingMode="AC",B9-(A$11-A$10)*SUM(B$9:B9)/0.21,B9)</f>
        <v>0.20377600000000001</v>
      </c>
      <c r="E9" s="247">
        <f>IF(C9&gt;0,C9/RefCellCal,0.00001)</f>
        <v>34.286624144378102</v>
      </c>
      <c r="F9" s="247">
        <f t="shared" ref="F9:F40" si="0">E9-BiasLight</f>
        <v>34.286624144378102</v>
      </c>
      <c r="G9" s="248">
        <f t="shared" ref="G9:G40" si="1">F9*0.038*OptConst/1.602E-19</f>
        <v>9.0275268814598533E+18</v>
      </c>
      <c r="H9" s="249">
        <f>CalcConductance(B9,Dark_Voltage,A_cal,B_cal,C_cal)</f>
        <v>6.0110782846943614E-3</v>
      </c>
      <c r="I9" s="248">
        <f>IF(MobilityModel=DK,CalcDeltaN(H9,SampleDoping,Thickness,AreaFrac),CalcDeltaNDL(H9,AreaFrac,Thickness,SampleType,SampleDoping,Temperature))</f>
        <v>649484157111175</v>
      </c>
      <c r="J9" s="248" t="str">
        <f t="shared" ref="J9:J40" si="2">IF(AND(AND(I9&gt;=FitRangeMin,I9&lt;=FitRangeMax),A9&gt;TimeofMaxCD),I9,"")</f>
        <v/>
      </c>
      <c r="K9" s="248">
        <f>IF(I9-BiasPtCD=0,0.00001,I9-BiasPtCD)</f>
        <v>649484157111175</v>
      </c>
      <c r="L9" s="250"/>
      <c r="M9" s="196" t="str">
        <f t="shared" ref="M9:M40" si="3">IF(E9&gt;0.85*BiasLight,IF( E9&lt;1.15*BiasLight,E9,""),"")</f>
        <v/>
      </c>
      <c r="N9" s="196" t="str">
        <f t="shared" ref="N9:N40" si="4">IF(E9&gt;0.85*BiasLight,IF(E9&lt;1.15*BiasLight,I9,""),"")</f>
        <v/>
      </c>
      <c r="O9" s="250">
        <f t="shared" ref="O9:O40" si="5">I9-Traps</f>
        <v>649484157111175</v>
      </c>
      <c r="P9" s="248"/>
      <c r="Q9" s="250"/>
      <c r="R9" s="251"/>
      <c r="S9" s="252"/>
      <c r="T9" s="201"/>
      <c r="U9" s="252">
        <f>FitInterceptAuger+FitSlopeAuger*(I9+Traps)</f>
        <v>353641.12206983939</v>
      </c>
      <c r="V9" s="251" t="str">
        <f>IF(AugerModel="Sinton","",IF(SampleType="n-type",n_intr_boltzmann(SampleDoping,0,K9,Temperature+273.15),n_intr_boltzmann(0,SampleDoping,K9,Temperature+273.15)))</f>
        <v/>
      </c>
      <c r="W9" s="251" t="str">
        <f>IF(V9="","",IF(T9="","",(V9^2)*T9))</f>
        <v/>
      </c>
      <c r="X9" s="246" t="str">
        <f>IF(AND(A9&gt;TimeofMaxCD,I9&gt;Traps),IF(AugerModel="Sinton",CalcImpliedV(SampleDoping,O9),CalcImpliedVRichter(O9,SampleDoping,V9)),"")</f>
        <v/>
      </c>
      <c r="Y9" s="253" t="str">
        <f t="shared" ref="Y9:Y40" si="6">IF(OR(P9="",P9&lt;0,A9&lt;=TimeofMaxCD),"",(O9*Thickness*1.602E-19/(0.038*OptConst*P9)))</f>
        <v/>
      </c>
      <c r="Z9" s="200" t="str">
        <f t="shared" ref="Z9:Z40" si="7">IF(C9&gt;0.6,O9,"")</f>
        <v/>
      </c>
      <c r="AA9" s="254">
        <v>25.323352</v>
      </c>
      <c r="AB9" s="254">
        <v>870.18400886302709</v>
      </c>
      <c r="AC9" s="251">
        <f>1/AB9</f>
        <v>1.1491822302119629E-3</v>
      </c>
      <c r="AD9" s="251">
        <f>INDEX(LINEST(AC9:AC44,AA9:AA44^{1,2,3}),1)</f>
        <v>-1.6362448558783923E-10</v>
      </c>
      <c r="AE9" s="251">
        <f t="shared" ref="AE9:AE40" si="8">H9/(K9*AreaFrac*Thickness*1.602E-19)</f>
        <v>1650.6434242824266</v>
      </c>
    </row>
    <row r="10" spans="1:31" x14ac:dyDescent="0.2">
      <c r="A10" s="244">
        <v>1.4999999999999999E-4</v>
      </c>
      <c r="B10" s="244">
        <v>0.35769000000000001</v>
      </c>
      <c r="C10" s="245">
        <v>0.49281199999999997</v>
      </c>
      <c r="D10" s="246">
        <f>IF(CouplingMode="AC",B10-(A$11-A$10)*SUM(B$9:B10)/0.21,B10)</f>
        <v>0.35769000000000001</v>
      </c>
      <c r="E10" s="247">
        <f t="shared" ref="E10:E40" si="9">IF(C10&gt;0,C10/RefCellCal,0.00001)</f>
        <v>51.93137581588676</v>
      </c>
      <c r="F10" s="247">
        <f t="shared" si="0"/>
        <v>51.93137581588676</v>
      </c>
      <c r="G10" s="248">
        <f t="shared" si="1"/>
        <v>1.3673317302834604E+19</v>
      </c>
      <c r="H10" s="249">
        <f t="shared" ref="H10:H40" si="10">CalcConductance(B10,Dark_Voltage,A_cal,B_cal,C_cal)</f>
        <v>1.056210489116053E-2</v>
      </c>
      <c r="I10" s="248">
        <f>IF(MobilityModel=DK,CalcDeltaN(H10,SampleDoping,Thickness,AreaFrac),CalcDeltaNDL(H10,AreaFrac,Thickness,SampleType,SampleDoping,Temperature))</f>
        <v>1147139324707402</v>
      </c>
      <c r="J10" s="248" t="str">
        <f t="shared" si="2"/>
        <v/>
      </c>
      <c r="K10" s="248">
        <f t="shared" ref="K10:K40" si="11">IF(I10-BiasPtCD=0,0.00001,I10-BiasPtCD)</f>
        <v>1147139324707402</v>
      </c>
      <c r="L10" s="250"/>
      <c r="M10" s="196" t="str">
        <f t="shared" si="3"/>
        <v/>
      </c>
      <c r="N10" s="196" t="str">
        <f t="shared" si="4"/>
        <v/>
      </c>
      <c r="O10" s="250">
        <f t="shared" si="5"/>
        <v>1147139324707402</v>
      </c>
      <c r="P10" s="248"/>
      <c r="Q10" s="250"/>
      <c r="R10" s="251"/>
      <c r="S10" s="252"/>
      <c r="T10" s="201"/>
      <c r="U10" s="252">
        <f t="shared" ref="U10:U40" si="12">FitInterceptAuger+FitSlopeAuger*(I10+Traps)</f>
        <v>333494.58294604218</v>
      </c>
      <c r="V10" s="251" t="str">
        <f>IF(AugerModel="Sinton","",IF(SampleType="n-type",n_intr_boltzmann(SampleDoping,0,K10,Temperature+273.15),n_intr_boltzmann(0,SampleDoping,K10,Temperature+273.15)))</f>
        <v/>
      </c>
      <c r="W10" s="251" t="str">
        <f t="shared" ref="W10:W73" si="13">IF(V10="","",IF(T10="","",(V10^2)*T10))</f>
        <v/>
      </c>
      <c r="X10" s="246" t="str">
        <f>IF(AND(A10&gt;TimeofMaxCD,I10&gt;Traps),IF(AugerModel="Sinton",CalcImpliedV(SampleDoping,O10),CalcImpliedVRichter(O10,SampleDoping,V10)),"")</f>
        <v/>
      </c>
      <c r="Y10" s="253" t="str">
        <f t="shared" si="6"/>
        <v/>
      </c>
      <c r="Z10" s="200" t="str">
        <f t="shared" si="7"/>
        <v/>
      </c>
      <c r="AA10" s="254">
        <v>30.515129000000002</v>
      </c>
      <c r="AB10" s="254">
        <v>448.92880700424229</v>
      </c>
      <c r="AC10" s="251">
        <f t="shared" ref="AC10:AC44" si="14">1/AB10</f>
        <v>2.2275246863152406E-3</v>
      </c>
      <c r="AD10" s="251">
        <f>INDEX(LINEST(AC9:AC44,AA9:AA44^{1,2,3}),1,2)</f>
        <v>-4.8718333202008587E-7</v>
      </c>
      <c r="AE10" s="251">
        <f t="shared" si="8"/>
        <v>1642.1156952788378</v>
      </c>
    </row>
    <row r="11" spans="1:31" x14ac:dyDescent="0.2">
      <c r="A11" s="244">
        <v>2.5000000000000001E-4</v>
      </c>
      <c r="B11" s="244">
        <v>0.417767</v>
      </c>
      <c r="C11" s="245">
        <v>0.55084500000000003</v>
      </c>
      <c r="D11" s="246">
        <f>IF(CouplingMode="AC",B11-(A$11-A$10)*SUM(B$9:B11)/0.21,B11)</f>
        <v>0.417767</v>
      </c>
      <c r="E11" s="247">
        <f t="shared" si="9"/>
        <v>58.046757610005734</v>
      </c>
      <c r="F11" s="247">
        <f t="shared" si="0"/>
        <v>58.046757610005734</v>
      </c>
      <c r="G11" s="248">
        <f t="shared" si="1"/>
        <v>1.5283472134769302E+19</v>
      </c>
      <c r="H11" s="249">
        <f t="shared" si="10"/>
        <v>1.2341021782323939E-2</v>
      </c>
      <c r="I11" s="248">
        <f>IF(MobilityModel=DK,CalcDeltaN(H11,SampleDoping,Thickness,AreaFrac),CalcDeltaNDL(H11,AreaFrac,Thickness,SampleType,SampleDoping,Temperature))</f>
        <v>1343046261683069</v>
      </c>
      <c r="J11" s="248" t="str">
        <f t="shared" si="2"/>
        <v/>
      </c>
      <c r="K11" s="248">
        <f t="shared" si="11"/>
        <v>1343046261683069</v>
      </c>
      <c r="L11" s="250">
        <f t="shared" ref="L11:L42" si="15">IF(ABS(SLOPE(K9:K13,A9:A13))&lt;1000000000000,-1000000000000,(SLOPE(K9:K13,A9:A13)))</f>
        <v>1.5826498981653386E+18</v>
      </c>
      <c r="M11" s="196" t="str">
        <f t="shared" si="3"/>
        <v/>
      </c>
      <c r="N11" s="196" t="str">
        <f t="shared" si="4"/>
        <v/>
      </c>
      <c r="O11" s="250">
        <f t="shared" si="5"/>
        <v>1343046261683069</v>
      </c>
      <c r="P11" s="248">
        <f>calclifetime(AnalysisMode,K11,Thickness,G11,L11)</f>
        <v>3.0868383307037376E-6</v>
      </c>
      <c r="Q11" s="250"/>
      <c r="R11" s="251"/>
      <c r="S11" s="252">
        <f>IF(AND(E11&gt;0.95*BiasLight,E11&lt;1.05*BiasLight),"",IF(AugerModel="Sinton",calclifetimeauger(Auger_Coefficient,I11,P11),calclifetimerichter(SampleType,I11,SampleDoping,P11)))</f>
        <v>323953.07109081035</v>
      </c>
      <c r="T11" s="201"/>
      <c r="U11" s="252">
        <f t="shared" si="12"/>
        <v>325563.69620479207</v>
      </c>
      <c r="V11" s="251" t="str">
        <f>IF(AugerModel="Sinton","",IF(SampleType="n-type",n_intr_boltzmann(SampleDoping,0,K11,Temperature+273.15),n_intr_boltzmann(0,SampleDoping,K11,Temperature+273.15)))</f>
        <v/>
      </c>
      <c r="W11" s="251" t="str">
        <f t="shared" si="13"/>
        <v/>
      </c>
      <c r="X11" s="246" t="str">
        <f>IF(AND(A11&gt;TimeofMaxCD,I11&gt;Traps),IF(AugerModel="Sinton",CalcImpliedV(SampleDoping,O11),CalcImpliedVRichter(O11,SampleDoping,V11)),"")</f>
        <v/>
      </c>
      <c r="Y11" s="253" t="str">
        <f t="shared" si="6"/>
        <v/>
      </c>
      <c r="Z11" s="200" t="str">
        <f t="shared" si="7"/>
        <v/>
      </c>
      <c r="AA11" s="254">
        <v>35.483528</v>
      </c>
      <c r="AB11" s="254">
        <v>317.13434685153129</v>
      </c>
      <c r="AC11" s="251">
        <f t="shared" si="14"/>
        <v>3.153237767929808E-3</v>
      </c>
      <c r="AD11" s="251">
        <f>INDEX(LINEST(AC9:AC44,AA9:AA44^{1,2,3}),1,3)</f>
        <v>2.3306993459059494E-4</v>
      </c>
      <c r="AE11" s="251">
        <f t="shared" si="8"/>
        <v>1638.8137171440096</v>
      </c>
    </row>
    <row r="12" spans="1:31" x14ac:dyDescent="0.2">
      <c r="A12" s="244">
        <v>3.5E-4</v>
      </c>
      <c r="B12" s="244">
        <v>0.43029699999999999</v>
      </c>
      <c r="C12" s="245">
        <v>0.56709799999999999</v>
      </c>
      <c r="D12" s="246">
        <f>IF(CouplingMode="AC",B12-(A$11-A$10)*SUM(B$9:B12)/0.21,B12)</f>
        <v>0.43029699999999999</v>
      </c>
      <c r="E12" s="247">
        <f t="shared" si="9"/>
        <v>59.759460732363969</v>
      </c>
      <c r="F12" s="247">
        <f t="shared" si="0"/>
        <v>59.759460732363969</v>
      </c>
      <c r="G12" s="248">
        <f t="shared" si="1"/>
        <v>1.5734419810805944E+19</v>
      </c>
      <c r="H12" s="249">
        <f t="shared" si="10"/>
        <v>1.2712221263347284E-2</v>
      </c>
      <c r="I12" s="248">
        <f>IF(MobilityModel=DK,CalcDeltaN(H12,SampleDoping,Thickness,AreaFrac),CalcDeltaNDL(H12,AreaFrac,Thickness,SampleType,SampleDoping,Temperature))</f>
        <v>1384023143857424</v>
      </c>
      <c r="J12" s="248" t="str">
        <f t="shared" si="2"/>
        <v/>
      </c>
      <c r="K12" s="248">
        <f t="shared" si="11"/>
        <v>1384023143857424</v>
      </c>
      <c r="L12" s="250">
        <f t="shared" si="15"/>
        <v>1.8427286274915469E+17</v>
      </c>
      <c r="M12" s="196" t="str">
        <f t="shared" si="3"/>
        <v/>
      </c>
      <c r="N12" s="196" t="str">
        <f t="shared" si="4"/>
        <v/>
      </c>
      <c r="O12" s="250">
        <f t="shared" si="5"/>
        <v>1384023143857424</v>
      </c>
      <c r="P12" s="248">
        <f t="shared" ref="P12:P42" si="16">calclifetime(AnalysisMode,K12,Thickness,G12,L12)</f>
        <v>3.0799149052518582E-6</v>
      </c>
      <c r="Q12" s="250" t="str">
        <f t="shared" ref="Q12:Q43" si="17">IF($J12="","",P12)</f>
        <v/>
      </c>
      <c r="R12" s="251" t="str">
        <f t="shared" ref="R12:R43" si="18">IF(Q12="","",1/Q12)</f>
        <v/>
      </c>
      <c r="S12" s="252">
        <f>IF(AND(E12&gt;0.95*BiasLight,E12&lt;1.05*BiasLight),"",IF(AugerModel="Sinton",calclifetimeauger(Auger_Coefficient,I12,P12),calclifetimerichter(SampleType,I12,SampleDoping,P12)))</f>
        <v>324681.11534329253</v>
      </c>
      <c r="T12" s="201" t="str">
        <f t="shared" ref="T12:T43" si="19">IF($J12="","",S12)</f>
        <v/>
      </c>
      <c r="U12" s="252">
        <f t="shared" si="12"/>
        <v>323904.83196776541</v>
      </c>
      <c r="V12" s="251" t="str">
        <f>IF(AugerModel="Sinton","",IF(SampleType="n-type",n_intr_boltzmann(SampleDoping,0,K12,Temperature+273.15),n_intr_boltzmann(0,SampleDoping,K12,Temperature+273.15)))</f>
        <v/>
      </c>
      <c r="W12" s="251" t="str">
        <f t="shared" si="13"/>
        <v/>
      </c>
      <c r="X12" s="246" t="str">
        <f>IF(AND(A12&gt;TimeofMaxCD,I12&gt;Traps),IF(AugerModel="Sinton",CalcImpliedV(SampleDoping,O12),CalcImpliedVRichter(O12,SampleDoping,V12)),"")</f>
        <v/>
      </c>
      <c r="Y12" s="253" t="str">
        <f t="shared" si="6"/>
        <v/>
      </c>
      <c r="Z12" s="200" t="str">
        <f t="shared" si="7"/>
        <v/>
      </c>
      <c r="AA12" s="254">
        <v>40.489055</v>
      </c>
      <c r="AB12" s="254">
        <v>244.81250878595623</v>
      </c>
      <c r="AC12" s="251">
        <f t="shared" si="14"/>
        <v>4.0847585973407801E-3</v>
      </c>
      <c r="AD12" s="251">
        <f>INDEX(LINEST(AC9:AC44,AA9:AA44^{1,2,3}),1,4)</f>
        <v>-4.4986269151658497E-3</v>
      </c>
      <c r="AE12" s="251">
        <f t="shared" si="8"/>
        <v>1638.1268727288227</v>
      </c>
    </row>
    <row r="13" spans="1:31" x14ac:dyDescent="0.2">
      <c r="A13" s="244">
        <v>4.4999999999999999E-4</v>
      </c>
      <c r="B13" s="244">
        <v>0.411439</v>
      </c>
      <c r="C13" s="245">
        <v>0.54771800000000004</v>
      </c>
      <c r="D13" s="246">
        <f>IF(CouplingMode="AC",B13-(A$11-A$10)*SUM(B$9:B13)/0.21,B13)</f>
        <v>0.411439</v>
      </c>
      <c r="E13" s="247">
        <f t="shared" si="9"/>
        <v>57.717241664419426</v>
      </c>
      <c r="F13" s="247">
        <f t="shared" si="0"/>
        <v>57.717241664419426</v>
      </c>
      <c r="G13" s="248">
        <f t="shared" si="1"/>
        <v>1.5196711943852759E+19</v>
      </c>
      <c r="H13" s="249">
        <f t="shared" si="10"/>
        <v>1.215357908689171E-2</v>
      </c>
      <c r="I13" s="248">
        <f>IF(MobilityModel=DK,CalcDeltaN(H13,SampleDoping,Thickness,AreaFrac),CalcDeltaNDL(H13,AreaFrac,Thickness,SampleType,SampleDoping,Temperature))</f>
        <v>1322367196618833.2</v>
      </c>
      <c r="J13" s="248" t="str">
        <f t="shared" si="2"/>
        <v/>
      </c>
      <c r="K13" s="248">
        <f t="shared" si="11"/>
        <v>1322367196618833.2</v>
      </c>
      <c r="L13" s="250">
        <f t="shared" si="15"/>
        <v>-4.637238921981047E+17</v>
      </c>
      <c r="M13" s="196" t="str">
        <f t="shared" si="3"/>
        <v/>
      </c>
      <c r="N13" s="196" t="str">
        <f t="shared" si="4"/>
        <v/>
      </c>
      <c r="O13" s="250">
        <f t="shared" si="5"/>
        <v>1322367196618833.2</v>
      </c>
      <c r="P13" s="248">
        <f t="shared" si="16"/>
        <v>3.0423340225423324E-6</v>
      </c>
      <c r="Q13" s="250" t="str">
        <f t="shared" si="17"/>
        <v/>
      </c>
      <c r="R13" s="251" t="str">
        <f t="shared" si="18"/>
        <v/>
      </c>
      <c r="S13" s="252">
        <f>IF(AND(E13&gt;0.95*BiasLight,E13&lt;1.05*BiasLight),"",IF(AugerModel="Sinton",calclifetimeauger(Auger_Coefficient,I13,P13),calclifetimerichter(SampleType,I13,SampleDoping,P13)))</f>
        <v>328692.10330055264</v>
      </c>
      <c r="T13" s="201" t="str">
        <f t="shared" si="19"/>
        <v/>
      </c>
      <c r="U13" s="252">
        <f t="shared" si="12"/>
        <v>326400.8453403521</v>
      </c>
      <c r="V13" s="251" t="str">
        <f>IF(AugerModel="Sinton","",IF(SampleType="n-type",n_intr_boltzmann(SampleDoping,0,K13,Temperature+273.15),n_intr_boltzmann(0,SampleDoping,K13,Temperature+273.15)))</f>
        <v/>
      </c>
      <c r="W13" s="251" t="str">
        <f t="shared" si="13"/>
        <v/>
      </c>
      <c r="X13" s="246">
        <f>IF(AND(A13&gt;TimeofMaxCD,I13&gt;Traps),IF(AugerModel="Sinton",CalcImpliedV(SampleDoping,O13),CalcImpliedVRichter(O13,SampleDoping,V13)),"")</f>
        <v>0.65700772891132431</v>
      </c>
      <c r="Y13" s="253">
        <f t="shared" si="6"/>
        <v>57.778884619932825</v>
      </c>
      <c r="Z13" s="200" t="str">
        <f t="shared" si="7"/>
        <v/>
      </c>
      <c r="AA13" s="254">
        <v>45.468153999999998</v>
      </c>
      <c r="AB13" s="254">
        <v>200.26089104650822</v>
      </c>
      <c r="AC13" s="251">
        <f t="shared" si="14"/>
        <v>4.9934862207706935E-3</v>
      </c>
      <c r="AE13" s="251">
        <f t="shared" si="8"/>
        <v>1639.1608319547456</v>
      </c>
    </row>
    <row r="14" spans="1:31" x14ac:dyDescent="0.2">
      <c r="A14" s="244">
        <v>5.5000000000000003E-4</v>
      </c>
      <c r="B14" s="244">
        <v>0.38915100000000002</v>
      </c>
      <c r="C14" s="245">
        <v>0.52065600000000001</v>
      </c>
      <c r="D14" s="246">
        <f>IF(CouplingMode="AC",B14-(A$11-A$10)*SUM(B$9:B14)/0.21,B14)</f>
        <v>0.38915100000000002</v>
      </c>
      <c r="E14" s="247">
        <f t="shared" si="9"/>
        <v>54.865511405558991</v>
      </c>
      <c r="F14" s="247">
        <f t="shared" si="0"/>
        <v>54.865511405558991</v>
      </c>
      <c r="G14" s="248">
        <f t="shared" si="1"/>
        <v>1.4445863115396246E+19</v>
      </c>
      <c r="H14" s="249">
        <f t="shared" si="10"/>
        <v>1.1493507814793535E-2</v>
      </c>
      <c r="I14" s="248">
        <f>IF(MobilityModel=DK,CalcDeltaN(H14,SampleDoping,Thickness,AreaFrac),CalcDeltaNDL(H14,AreaFrac,Thickness,SampleType,SampleDoping,Temperature))</f>
        <v>1249615288614097.2</v>
      </c>
      <c r="J14" s="248">
        <f t="shared" si="2"/>
        <v>1249615288614097.2</v>
      </c>
      <c r="K14" s="248">
        <f t="shared" si="11"/>
        <v>1249615288614097.2</v>
      </c>
      <c r="L14" s="250">
        <f t="shared" si="15"/>
        <v>-6.958377358398423E+17</v>
      </c>
      <c r="M14" s="196" t="str">
        <f t="shared" si="3"/>
        <v/>
      </c>
      <c r="N14" s="196" t="str">
        <f t="shared" si="4"/>
        <v/>
      </c>
      <c r="O14" s="250">
        <f t="shared" si="5"/>
        <v>1249615288614097.2</v>
      </c>
      <c r="P14" s="248">
        <f t="shared" si="16"/>
        <v>3.0225209327005229E-6</v>
      </c>
      <c r="Q14" s="250">
        <f t="shared" si="17"/>
        <v>3.0225209327005229E-6</v>
      </c>
      <c r="R14" s="251">
        <f t="shared" si="18"/>
        <v>330849.65241465933</v>
      </c>
      <c r="S14" s="252">
        <f>IF(AND(E14&gt;0.95*BiasLight,E14&lt;1.05*BiasLight),"",IF(AugerModel="Sinton",calclifetimeauger(Auger_Coefficient,I14,P14),calclifetimerichter(SampleType,I14,SampleDoping,P14)))</f>
        <v>330847.0602609659</v>
      </c>
      <c r="T14" s="201">
        <f t="shared" si="19"/>
        <v>330847.0602609659</v>
      </c>
      <c r="U14" s="252">
        <f t="shared" si="12"/>
        <v>329346.05571167794</v>
      </c>
      <c r="V14" s="251" t="str">
        <f>IF(AugerModel="Sinton","",IF(SampleType="n-type",n_intr_boltzmann(SampleDoping,0,K14,Temperature+273.15),n_intr_boltzmann(0,SampleDoping,K14,Temperature+273.15)))</f>
        <v/>
      </c>
      <c r="W14" s="251" t="str">
        <f t="shared" si="13"/>
        <v/>
      </c>
      <c r="X14" s="246">
        <f>IF(AND(A14&gt;TimeofMaxCD,I14&gt;Traps),IF(AugerModel="Sinton",CalcImpliedV(SampleDoping,O14),CalcImpliedVRichter(O14,SampleDoping,V14)),"")</f>
        <v>0.6552915071661386</v>
      </c>
      <c r="Y14" s="253">
        <f t="shared" si="6"/>
        <v>54.958009323644681</v>
      </c>
      <c r="Z14" s="200" t="str">
        <f t="shared" si="7"/>
        <v/>
      </c>
      <c r="AA14" s="254">
        <v>50.427007000000003</v>
      </c>
      <c r="AB14" s="254">
        <v>168.39584880796903</v>
      </c>
      <c r="AC14" s="251">
        <f t="shared" si="14"/>
        <v>5.9383886662215443E-3</v>
      </c>
      <c r="AE14" s="251">
        <f t="shared" si="8"/>
        <v>1640.3846977665032</v>
      </c>
    </row>
    <row r="15" spans="1:31" x14ac:dyDescent="0.2">
      <c r="A15" s="244">
        <v>6.4999999999999997E-4</v>
      </c>
      <c r="B15" s="244">
        <v>0.36729200000000001</v>
      </c>
      <c r="C15" s="245">
        <v>0.49328899999999998</v>
      </c>
      <c r="D15" s="246">
        <f>IF(CouplingMode="AC",B15-(A$11-A$10)*SUM(B$9:B15)/0.21,B15)</f>
        <v>0.36729200000000001</v>
      </c>
      <c r="E15" s="247">
        <f t="shared" si="9"/>
        <v>51.981640960128736</v>
      </c>
      <c r="F15" s="247">
        <f t="shared" si="0"/>
        <v>51.981640960128736</v>
      </c>
      <c r="G15" s="248">
        <f t="shared" si="1"/>
        <v>1.3686551908228655E+19</v>
      </c>
      <c r="H15" s="249">
        <f t="shared" si="10"/>
        <v>1.084633092998135E-2</v>
      </c>
      <c r="I15" s="248">
        <f>IF(MobilityModel=DK,CalcDeltaN(H15,SampleDoping,Thickness,AreaFrac),CalcDeltaNDL(H15,AreaFrac,Thickness,SampleType,SampleDoping,Temperature))</f>
        <v>1178388243205680</v>
      </c>
      <c r="J15" s="248">
        <f t="shared" si="2"/>
        <v>1178388243205680</v>
      </c>
      <c r="K15" s="248">
        <f t="shared" si="11"/>
        <v>1178388243205680</v>
      </c>
      <c r="L15" s="250">
        <f t="shared" si="15"/>
        <v>-7.0388824996856614E+17</v>
      </c>
      <c r="M15" s="196" t="str">
        <f t="shared" si="3"/>
        <v/>
      </c>
      <c r="N15" s="196" t="str">
        <f t="shared" si="4"/>
        <v/>
      </c>
      <c r="O15" s="250">
        <f t="shared" si="5"/>
        <v>1178388243205680</v>
      </c>
      <c r="P15" s="248">
        <f t="shared" si="16"/>
        <v>3.00802443386309E-6</v>
      </c>
      <c r="Q15" s="250">
        <f t="shared" si="17"/>
        <v>3.00802443386309E-6</v>
      </c>
      <c r="R15" s="251">
        <f t="shared" si="18"/>
        <v>332444.10808051133</v>
      </c>
      <c r="S15" s="252">
        <f>IF(AND(E15&gt;0.95*BiasLight,E15&lt;1.05*BiasLight),"",IF(AugerModel="Sinton",calclifetimeauger(Auger_Coefficient,I15,P15),calclifetimerichter(SampleType,I15,SampleDoping,P15)))</f>
        <v>332441.80300641747</v>
      </c>
      <c r="T15" s="201">
        <f t="shared" si="19"/>
        <v>332441.80300641747</v>
      </c>
      <c r="U15" s="252">
        <f t="shared" si="12"/>
        <v>332229.53517783998</v>
      </c>
      <c r="V15" s="251" t="str">
        <f>IF(AugerModel="Sinton","",IF(SampleType="n-type",n_intr_boltzmann(SampleDoping,0,K15,Temperature+273.15),n_intr_boltzmann(0,SampleDoping,K15,Temperature+273.15)))</f>
        <v/>
      </c>
      <c r="W15" s="251" t="str">
        <f t="shared" si="13"/>
        <v/>
      </c>
      <c r="X15" s="246">
        <f>IF(AND(A15&gt;TimeofMaxCD,I15&gt;Traps),IF(AugerModel="Sinton",CalcImpliedV(SampleDoping,O15),CalcImpliedVRichter(O15,SampleDoping,V15)),"")</f>
        <v>0.65352420313749271</v>
      </c>
      <c r="Y15" s="253">
        <f t="shared" si="6"/>
        <v>52.075209035462407</v>
      </c>
      <c r="Z15" s="200" t="str">
        <f t="shared" si="7"/>
        <v/>
      </c>
      <c r="AA15" s="254">
        <v>55.451256999999998</v>
      </c>
      <c r="AB15" s="254">
        <v>145.9305174830096</v>
      </c>
      <c r="AC15" s="251">
        <f t="shared" si="14"/>
        <v>6.8525762619626703E-3</v>
      </c>
      <c r="AE15" s="251">
        <f t="shared" si="8"/>
        <v>1641.5869613511404</v>
      </c>
    </row>
    <row r="16" spans="1:31" x14ac:dyDescent="0.2">
      <c r="A16" s="244">
        <v>7.5000000000000002E-4</v>
      </c>
      <c r="B16" s="244">
        <v>0.34568199999999999</v>
      </c>
      <c r="C16" s="245">
        <v>0.46699299999999999</v>
      </c>
      <c r="D16" s="246">
        <f>IF(CouplingMode="AC",B16-(A$11-A$10)*SUM(B$9:B16)/0.21,B16)</f>
        <v>0.34568199999999999</v>
      </c>
      <c r="E16" s="247">
        <f t="shared" si="9"/>
        <v>49.210629989505954</v>
      </c>
      <c r="F16" s="247">
        <f t="shared" si="0"/>
        <v>49.210629989505954</v>
      </c>
      <c r="G16" s="248">
        <f t="shared" si="1"/>
        <v>1.2956956135813743E+19</v>
      </c>
      <c r="H16" s="249">
        <f t="shared" si="10"/>
        <v>1.0206710446800295E-2</v>
      </c>
      <c r="I16" s="248">
        <f>IF(MobilityModel=DK,CalcDeltaN(H16,SampleDoping,Thickness,AreaFrac),CalcDeltaNDL(H16,AreaFrac,Thickness,SampleType,SampleDoping,Temperature))</f>
        <v>1108093752644079.5</v>
      </c>
      <c r="J16" s="248">
        <f t="shared" si="2"/>
        <v>1108093752644079.5</v>
      </c>
      <c r="K16" s="248">
        <f t="shared" si="11"/>
        <v>1108093752644079.5</v>
      </c>
      <c r="L16" s="250">
        <f t="shared" si="15"/>
        <v>-6.796986925541248E+17</v>
      </c>
      <c r="M16" s="196" t="str">
        <f t="shared" si="3"/>
        <v/>
      </c>
      <c r="N16" s="196" t="str">
        <f t="shared" si="4"/>
        <v/>
      </c>
      <c r="O16" s="250">
        <f t="shared" si="5"/>
        <v>1108093752644079.5</v>
      </c>
      <c r="P16" s="248">
        <f t="shared" si="16"/>
        <v>2.9877545225338654E-6</v>
      </c>
      <c r="Q16" s="250">
        <f t="shared" si="17"/>
        <v>2.9877545225338654E-6</v>
      </c>
      <c r="R16" s="251">
        <f t="shared" si="18"/>
        <v>334699.51847045199</v>
      </c>
      <c r="S16" s="252">
        <f>IF(AND(E16&gt;0.95*BiasLight,E16&lt;1.05*BiasLight),"",IF(AugerModel="Sinton",calclifetimeauger(Auger_Coefficient,I16,P16),calclifetimerichter(SampleType,I16,SampleDoping,P16)))</f>
        <v>334697.48020332266</v>
      </c>
      <c r="T16" s="201">
        <f t="shared" si="19"/>
        <v>334697.48020332266</v>
      </c>
      <c r="U16" s="252">
        <f t="shared" si="12"/>
        <v>335075.2620917735</v>
      </c>
      <c r="V16" s="251" t="str">
        <f>IF(AugerModel="Sinton","",IF(SampleType="n-type",n_intr_boltzmann(SampleDoping,0,K16,Temperature+273.15),n_intr_boltzmann(0,SampleDoping,K16,Temperature+273.15)))</f>
        <v/>
      </c>
      <c r="W16" s="251" t="str">
        <f t="shared" si="13"/>
        <v/>
      </c>
      <c r="X16" s="246">
        <f>IF(AND(A16&gt;TimeofMaxCD,I16&gt;Traps),IF(AugerModel="Sinton",CalcImpliedV(SampleDoping,O16),CalcImpliedVRichter(O16,SampleDoping,V16)),"")</f>
        <v>0.65168529816762288</v>
      </c>
      <c r="Y16" s="253">
        <f t="shared" si="6"/>
        <v>49.30098253974662</v>
      </c>
      <c r="Z16" s="200" t="str">
        <f t="shared" si="7"/>
        <v/>
      </c>
      <c r="AA16" s="254">
        <v>60.362957000000002</v>
      </c>
      <c r="AB16" s="254">
        <v>129.65722649065236</v>
      </c>
      <c r="AC16" s="251">
        <f t="shared" si="14"/>
        <v>7.7126437690080854E-3</v>
      </c>
      <c r="AE16" s="251">
        <f t="shared" si="8"/>
        <v>1642.777447191311</v>
      </c>
    </row>
    <row r="17" spans="1:31" x14ac:dyDescent="0.2">
      <c r="A17" s="244">
        <v>8.4999999999999995E-4</v>
      </c>
      <c r="B17" s="244">
        <v>0.32507799999999998</v>
      </c>
      <c r="C17" s="245">
        <v>0.44172600000000001</v>
      </c>
      <c r="D17" s="246">
        <f>IF(CouplingMode="AC",B17-(A$11-A$10)*SUM(B$9:B17)/0.21,B17)</f>
        <v>0.32507799999999998</v>
      </c>
      <c r="E17" s="247">
        <f t="shared" si="9"/>
        <v>46.548052631933466</v>
      </c>
      <c r="F17" s="247">
        <f t="shared" si="0"/>
        <v>46.548052631933466</v>
      </c>
      <c r="G17" s="248">
        <f t="shared" si="1"/>
        <v>1.2255910486984731E+19</v>
      </c>
      <c r="H17" s="249">
        <f t="shared" si="10"/>
        <v>9.5970365457042246E-3</v>
      </c>
      <c r="I17" s="248">
        <f>IF(MobilityModel=DK,CalcDeltaN(H17,SampleDoping,Thickness,AreaFrac),CalcDeltaNDL(H17,AreaFrac,Thickness,SampleType,SampleDoping,Temperature))</f>
        <v>1041183839619559.1</v>
      </c>
      <c r="J17" s="248">
        <f t="shared" si="2"/>
        <v>1041183839619559.1</v>
      </c>
      <c r="K17" s="248">
        <f t="shared" si="11"/>
        <v>1041183839619559.1</v>
      </c>
      <c r="L17" s="250">
        <f t="shared" si="15"/>
        <v>-6.5251869864973619E+17</v>
      </c>
      <c r="M17" s="196" t="str">
        <f t="shared" si="3"/>
        <v/>
      </c>
      <c r="N17" s="196" t="str">
        <f t="shared" si="4"/>
        <v/>
      </c>
      <c r="O17" s="250">
        <f t="shared" si="5"/>
        <v>1041183839619559.1</v>
      </c>
      <c r="P17" s="248">
        <f t="shared" si="16"/>
        <v>2.9678459467526309E-6</v>
      </c>
      <c r="Q17" s="250">
        <f t="shared" si="17"/>
        <v>2.9678459467526309E-6</v>
      </c>
      <c r="R17" s="251">
        <f t="shared" si="18"/>
        <v>336944.71274500748</v>
      </c>
      <c r="S17" s="252">
        <f>IF(AND(E17&gt;0.95*BiasLight,E17&lt;1.05*BiasLight),"",IF(AugerModel="Sinton",calclifetimeauger(Auger_Coefficient,I17,P17),calclifetimerichter(SampleType,I17,SampleDoping,P17)))</f>
        <v>336942.91319911956</v>
      </c>
      <c r="T17" s="201">
        <f t="shared" si="19"/>
        <v>336942.91319911956</v>
      </c>
      <c r="U17" s="252">
        <f t="shared" si="12"/>
        <v>337783.97139148699</v>
      </c>
      <c r="V17" s="251" t="str">
        <f>IF(AugerModel="Sinton","",IF(SampleType="n-type",n_intr_boltzmann(SampleDoping,0,K17,Temperature+273.15),n_intr_boltzmann(0,SampleDoping,K17,Temperature+273.15)))</f>
        <v/>
      </c>
      <c r="W17" s="251" t="str">
        <f t="shared" si="13"/>
        <v/>
      </c>
      <c r="X17" s="246">
        <f>IF(AND(A17&gt;TimeofMaxCD,I17&gt;Traps),IF(AugerModel="Sinton",CalcImpliedV(SampleDoping,O17),CalcImpliedVRichter(O17,SampleDoping,V17)),"")</f>
        <v>0.64983646234047787</v>
      </c>
      <c r="Y17" s="253">
        <f t="shared" si="6"/>
        <v>46.634792137465212</v>
      </c>
      <c r="Z17" s="200" t="str">
        <f t="shared" si="7"/>
        <v/>
      </c>
      <c r="AA17" s="254">
        <v>65.462629000000007</v>
      </c>
      <c r="AB17" s="254">
        <v>115.80431286482889</v>
      </c>
      <c r="AC17" s="251">
        <f t="shared" si="14"/>
        <v>8.6352569715364338E-3</v>
      </c>
      <c r="AE17" s="251">
        <f t="shared" si="8"/>
        <v>1643.9143018086704</v>
      </c>
    </row>
    <row r="18" spans="1:31" x14ac:dyDescent="0.2">
      <c r="A18" s="244">
        <v>9.5E-4</v>
      </c>
      <c r="B18" s="244">
        <v>0.30570399999999998</v>
      </c>
      <c r="C18" s="245">
        <v>0.417846</v>
      </c>
      <c r="D18" s="246">
        <f>IF(CouplingMode="AC",B18-(A$11-A$10)*SUM(B$9:B18)/0.21,B18)</f>
        <v>0.30570399999999998</v>
      </c>
      <c r="E18" s="247">
        <f t="shared" si="9"/>
        <v>44.031634090007998</v>
      </c>
      <c r="F18" s="247">
        <f t="shared" si="0"/>
        <v>44.031634090007998</v>
      </c>
      <c r="G18" s="248">
        <f t="shared" si="1"/>
        <v>1.1593347852163156E+19</v>
      </c>
      <c r="H18" s="249">
        <f t="shared" si="10"/>
        <v>9.0239103869404098E-3</v>
      </c>
      <c r="I18" s="248">
        <f>IF(MobilityModel=DK,CalcDeltaN(H18,SampleDoping,Thickness,AreaFrac),CalcDeltaNDL(H18,AreaFrac,Thickness,SampleType,SampleDoping,Temperature))</f>
        <v>978368144130095.25</v>
      </c>
      <c r="J18" s="248">
        <f t="shared" si="2"/>
        <v>978368144130095.25</v>
      </c>
      <c r="K18" s="248">
        <f t="shared" si="11"/>
        <v>978368144130095.25</v>
      </c>
      <c r="L18" s="250">
        <f t="shared" si="15"/>
        <v>-6.1896957017196326E+17</v>
      </c>
      <c r="M18" s="196" t="str">
        <f t="shared" si="3"/>
        <v/>
      </c>
      <c r="N18" s="196" t="str">
        <f t="shared" si="4"/>
        <v/>
      </c>
      <c r="O18" s="250">
        <f t="shared" si="5"/>
        <v>978368144130095.25</v>
      </c>
      <c r="P18" s="248">
        <f t="shared" si="16"/>
        <v>2.9481575802211441E-6</v>
      </c>
      <c r="Q18" s="250">
        <f t="shared" si="17"/>
        <v>2.9481575802211441E-6</v>
      </c>
      <c r="R18" s="251">
        <f t="shared" si="18"/>
        <v>339194.89470606559</v>
      </c>
      <c r="S18" s="252">
        <f>IF(AND(E18&gt;0.95*BiasLight,E18&lt;1.05*BiasLight),"",IF(AugerModel="Sinton",calclifetimeauger(Auger_Coefficient,I18,P18),calclifetimerichter(SampleType,I18,SampleDoping,P18)))</f>
        <v>339193.30574705137</v>
      </c>
      <c r="T18" s="201">
        <f t="shared" si="19"/>
        <v>339193.30574705137</v>
      </c>
      <c r="U18" s="252">
        <f t="shared" si="12"/>
        <v>340326.93477088824</v>
      </c>
      <c r="V18" s="251" t="str">
        <f>IF(AugerModel="Sinton","",IF(SampleType="n-type",n_intr_boltzmann(SampleDoping,0,K18,Temperature+273.15),n_intr_boltzmann(0,SampleDoping,K18,Temperature+273.15)))</f>
        <v/>
      </c>
      <c r="W18" s="251" t="str">
        <f t="shared" si="13"/>
        <v/>
      </c>
      <c r="X18" s="246">
        <f>IF(AND(A18&gt;TimeofMaxCD,I18&gt;Traps),IF(AugerModel="Sinton",CalcImpliedV(SampleDoping,O18),CalcImpliedVRichter(O18,SampleDoping,V18)),"")</f>
        <v>0.64800205472252792</v>
      </c>
      <c r="Y18" s="253">
        <f t="shared" si="6"/>
        <v>44.113913899869409</v>
      </c>
      <c r="Z18" s="200" t="str">
        <f t="shared" si="7"/>
        <v/>
      </c>
      <c r="AA18" s="254">
        <v>70.449458000000007</v>
      </c>
      <c r="AB18" s="254">
        <v>105.96071639026221</v>
      </c>
      <c r="AC18" s="251">
        <f t="shared" si="14"/>
        <v>9.4374597876152148E-3</v>
      </c>
      <c r="AE18" s="251">
        <f t="shared" si="8"/>
        <v>1644.984894213711</v>
      </c>
    </row>
    <row r="19" spans="1:31" x14ac:dyDescent="0.2">
      <c r="A19" s="244">
        <v>1.0499999999999999E-3</v>
      </c>
      <c r="B19" s="244">
        <v>0.28674500000000003</v>
      </c>
      <c r="C19" s="245">
        <v>0.39495400000000003</v>
      </c>
      <c r="D19" s="246">
        <f>IF(CouplingMode="AC",B19-(A$11-A$10)*SUM(B$9:B19)/0.21,B19)</f>
        <v>0.28674500000000003</v>
      </c>
      <c r="E19" s="247">
        <f t="shared" si="9"/>
        <v>41.619328677036563</v>
      </c>
      <c r="F19" s="247">
        <f t="shared" si="0"/>
        <v>41.619328677036563</v>
      </c>
      <c r="G19" s="248">
        <f t="shared" si="1"/>
        <v>1.0958197775264684E+19</v>
      </c>
      <c r="H19" s="249">
        <f t="shared" si="10"/>
        <v>8.4632034313908838E-3</v>
      </c>
      <c r="I19" s="248">
        <f>IF(MobilityModel=DK,CalcDeltaN(H19,SampleDoping,Thickness,AreaFrac),CalcDeltaNDL(H19,AreaFrac,Thickness,SampleType,SampleDoping,Temperature))</f>
        <v>916991698137804.12</v>
      </c>
      <c r="J19" s="248">
        <f t="shared" si="2"/>
        <v>916991698137804.12</v>
      </c>
      <c r="K19" s="248">
        <f t="shared" si="11"/>
        <v>916991698137804.12</v>
      </c>
      <c r="L19" s="250">
        <f t="shared" si="15"/>
        <v>-5.8315321534618714E+17</v>
      </c>
      <c r="M19" s="196" t="str">
        <f t="shared" si="3"/>
        <v/>
      </c>
      <c r="N19" s="196" t="str">
        <f t="shared" si="4"/>
        <v/>
      </c>
      <c r="O19" s="250">
        <f t="shared" si="5"/>
        <v>916991698137804.12</v>
      </c>
      <c r="P19" s="248">
        <f t="shared" si="16"/>
        <v>2.9233860095902225E-6</v>
      </c>
      <c r="Q19" s="250">
        <f t="shared" si="17"/>
        <v>2.9233860095902225E-6</v>
      </c>
      <c r="R19" s="251">
        <f t="shared" si="18"/>
        <v>342069.09272996493</v>
      </c>
      <c r="S19" s="252">
        <f>IF(AND(E19&gt;0.95*BiasLight,E19&lt;1.05*BiasLight),"",IF(AugerModel="Sinton",calclifetimeauger(Auger_Coefficient,I19,P19),calclifetimerichter(SampleType,I19,SampleDoping,P19)))</f>
        <v>342067.69687949936</v>
      </c>
      <c r="T19" s="201">
        <f t="shared" si="19"/>
        <v>342067.69687949936</v>
      </c>
      <c r="U19" s="252">
        <f t="shared" si="12"/>
        <v>342811.63311419287</v>
      </c>
      <c r="V19" s="251" t="str">
        <f>IF(AugerModel="Sinton","",IF(SampleType="n-type",n_intr_boltzmann(SampleDoping,0,K19,Temperature+273.15),n_intr_boltzmann(0,SampleDoping,K19,Temperature+273.15)))</f>
        <v/>
      </c>
      <c r="W19" s="251" t="str">
        <f t="shared" si="13"/>
        <v/>
      </c>
      <c r="X19" s="246">
        <f>IF(AND(A19&gt;TimeofMaxCD,I19&gt;Traps),IF(AugerModel="Sinton",CalcImpliedV(SampleDoping,O19),CalcImpliedVRichter(O19,SampleDoping,V19)),"")</f>
        <v>0.64610517427591074</v>
      </c>
      <c r="Y19" s="253">
        <f t="shared" si="6"/>
        <v>41.696847408151932</v>
      </c>
      <c r="Z19" s="200" t="str">
        <f t="shared" si="7"/>
        <v/>
      </c>
      <c r="AA19" s="254">
        <v>75.491033000000002</v>
      </c>
      <c r="AB19" s="254">
        <v>97.591212215108271</v>
      </c>
      <c r="AC19" s="251">
        <f t="shared" si="14"/>
        <v>1.0246824250894879E-2</v>
      </c>
      <c r="AE19" s="251">
        <f t="shared" si="8"/>
        <v>1646.0340705672379</v>
      </c>
    </row>
    <row r="20" spans="1:31" x14ac:dyDescent="0.2">
      <c r="A20" s="244">
        <v>1.15E-3</v>
      </c>
      <c r="B20" s="244">
        <v>0.26933299999999999</v>
      </c>
      <c r="C20" s="245">
        <v>0.37357600000000002</v>
      </c>
      <c r="D20" s="246">
        <f>IF(CouplingMode="AC",B20-(A$11-A$10)*SUM(B$9:B20)/0.21,B20)</f>
        <v>0.26933299999999999</v>
      </c>
      <c r="E20" s="247">
        <f t="shared" si="9"/>
        <v>39.366565042644488</v>
      </c>
      <c r="F20" s="247">
        <f t="shared" si="0"/>
        <v>39.366565042644488</v>
      </c>
      <c r="G20" s="248">
        <f t="shared" si="1"/>
        <v>1.0365054391377932E+19</v>
      </c>
      <c r="H20" s="249">
        <f t="shared" si="10"/>
        <v>7.9483727956242214E-3</v>
      </c>
      <c r="I20" s="248">
        <f>IF(MobilityModel=DK,CalcDeltaN(H20,SampleDoping,Thickness,AreaFrac),CalcDeltaNDL(H20,AreaFrac,Thickness,SampleType,SampleDoping,Temperature))</f>
        <v>860705038298975.37</v>
      </c>
      <c r="J20" s="248">
        <f t="shared" si="2"/>
        <v>860705038298975.37</v>
      </c>
      <c r="K20" s="248">
        <f t="shared" si="11"/>
        <v>860705038298975.37</v>
      </c>
      <c r="L20" s="250">
        <f t="shared" si="15"/>
        <v>-5.4405745646522099E+17</v>
      </c>
      <c r="M20" s="196" t="str">
        <f t="shared" si="3"/>
        <v/>
      </c>
      <c r="N20" s="196" t="str">
        <f t="shared" si="4"/>
        <v/>
      </c>
      <c r="O20" s="250">
        <f t="shared" si="5"/>
        <v>860705038298975.37</v>
      </c>
      <c r="P20" s="248">
        <f t="shared" si="16"/>
        <v>2.9010397412753669E-6</v>
      </c>
      <c r="Q20" s="250">
        <f t="shared" si="17"/>
        <v>2.9010397412753669E-6</v>
      </c>
      <c r="R20" s="251">
        <f t="shared" si="18"/>
        <v>344703.99897395959</v>
      </c>
      <c r="S20" s="252">
        <f>IF(AND(E20&gt;0.95*BiasLight,E20&lt;1.05*BiasLight),"",IF(AugerModel="Sinton",calclifetimeauger(Auger_Coefficient,I20,P20),calclifetimerichter(SampleType,I20,SampleDoping,P20)))</f>
        <v>344702.76922410907</v>
      </c>
      <c r="T20" s="201">
        <f t="shared" si="19"/>
        <v>344702.76922410907</v>
      </c>
      <c r="U20" s="252">
        <f t="shared" si="12"/>
        <v>345090.28200287651</v>
      </c>
      <c r="V20" s="251" t="str">
        <f>IF(AugerModel="Sinton","",IF(SampleType="n-type",n_intr_boltzmann(SampleDoping,0,K20,Temperature+273.15),n_intr_boltzmann(0,SampleDoping,K20,Temperature+273.15)))</f>
        <v/>
      </c>
      <c r="W20" s="251" t="str">
        <f t="shared" si="13"/>
        <v/>
      </c>
      <c r="X20" s="246">
        <f>IF(AND(A20&gt;TimeofMaxCD,I20&gt;Traps),IF(AugerModel="Sinton",CalcImpliedV(SampleDoping,O20),CalcImpliedVRichter(O20,SampleDoping,V20)),"")</f>
        <v>0.64426272856017008</v>
      </c>
      <c r="Y20" s="253">
        <f t="shared" si="6"/>
        <v>39.43888676285313</v>
      </c>
      <c r="Z20" s="200" t="str">
        <f t="shared" si="7"/>
        <v/>
      </c>
      <c r="AA20" s="254">
        <v>80.453337000000005</v>
      </c>
      <c r="AB20" s="254">
        <v>90.357055020995062</v>
      </c>
      <c r="AC20" s="251">
        <f t="shared" si="14"/>
        <v>1.1067204434314989E-2</v>
      </c>
      <c r="AE20" s="251">
        <f t="shared" si="8"/>
        <v>1646.998967669052</v>
      </c>
    </row>
    <row r="21" spans="1:31" x14ac:dyDescent="0.2">
      <c r="A21" s="244">
        <v>1.25E-3</v>
      </c>
      <c r="B21" s="244">
        <v>0.25314300000000001</v>
      </c>
      <c r="C21" s="245">
        <v>0.35358699999999998</v>
      </c>
      <c r="D21" s="246">
        <f>IF(CouplingMode="AC",B21-(A$11-A$10)*SUM(B$9:B21)/0.21,B21)</f>
        <v>0.25314300000000001</v>
      </c>
      <c r="E21" s="247">
        <f t="shared" si="9"/>
        <v>37.260170979221186</v>
      </c>
      <c r="F21" s="247">
        <f t="shared" si="0"/>
        <v>37.260170979221186</v>
      </c>
      <c r="G21" s="248">
        <f t="shared" si="1"/>
        <v>9.8104495125065523E+18</v>
      </c>
      <c r="H21" s="249">
        <f t="shared" si="10"/>
        <v>7.4697804646492102E-3</v>
      </c>
      <c r="I21" s="248">
        <f>IF(MobilityModel=DK,CalcDeltaN(H21,SampleDoping,Thickness,AreaFrac),CalcDeltaNDL(H21,AreaFrac,Thickness,SampleType,SampleDoping,Temperature))</f>
        <v>808438784862025.5</v>
      </c>
      <c r="J21" s="248">
        <f t="shared" si="2"/>
        <v>808438784862025.5</v>
      </c>
      <c r="K21" s="248">
        <f t="shared" si="11"/>
        <v>808438784862025.5</v>
      </c>
      <c r="L21" s="250">
        <f t="shared" si="15"/>
        <v>-5.0547003458638016E+17</v>
      </c>
      <c r="M21" s="196" t="str">
        <f t="shared" si="3"/>
        <v/>
      </c>
      <c r="N21" s="196" t="str">
        <f t="shared" si="4"/>
        <v/>
      </c>
      <c r="O21" s="250">
        <f t="shared" si="5"/>
        <v>808438784862025.5</v>
      </c>
      <c r="P21" s="248">
        <f t="shared" si="16"/>
        <v>2.8790142077357204E-6</v>
      </c>
      <c r="Q21" s="250">
        <f t="shared" si="17"/>
        <v>2.8790142077357204E-6</v>
      </c>
      <c r="R21" s="251">
        <f t="shared" si="18"/>
        <v>347341.11325781798</v>
      </c>
      <c r="S21" s="252">
        <f>IF(AND(E21&gt;0.95*BiasLight,E21&lt;1.05*BiasLight),"",IF(AugerModel="Sinton",calclifetimeauger(Auger_Coefficient,I21,P21),calclifetimerichter(SampleType,I21,SampleDoping,P21)))</f>
        <v>347340.02832619165</v>
      </c>
      <c r="T21" s="201">
        <f t="shared" si="19"/>
        <v>347340.02832619165</v>
      </c>
      <c r="U21" s="252">
        <f t="shared" si="12"/>
        <v>347206.17306215747</v>
      </c>
      <c r="V21" s="251" t="str">
        <f>IF(AugerModel="Sinton","",IF(SampleType="n-type",n_intr_boltzmann(SampleDoping,0,K21,Temperature+273.15),n_intr_boltzmann(0,SampleDoping,K21,Temperature+273.15)))</f>
        <v/>
      </c>
      <c r="W21" s="251" t="str">
        <f t="shared" si="13"/>
        <v/>
      </c>
      <c r="X21" s="246">
        <f>IF(AND(A21&gt;TimeofMaxCD,I21&gt;Traps),IF(AugerModel="Sinton",CalcImpliedV(SampleDoping,O21),CalcImpliedVRichter(O21,SampleDoping,V21)),"")</f>
        <v>0.64245199372304429</v>
      </c>
      <c r="Y21" s="253">
        <f t="shared" si="6"/>
        <v>37.327363261912645</v>
      </c>
      <c r="Z21" s="200" t="str">
        <f t="shared" si="7"/>
        <v/>
      </c>
      <c r="AA21" s="254">
        <v>85.428340000000006</v>
      </c>
      <c r="AB21" s="254">
        <v>84.877120103628343</v>
      </c>
      <c r="AC21" s="251">
        <f t="shared" si="14"/>
        <v>1.1781738103025621E-2</v>
      </c>
      <c r="AE21" s="251">
        <f t="shared" si="8"/>
        <v>1647.897297262904</v>
      </c>
    </row>
    <row r="22" spans="1:31" x14ac:dyDescent="0.2">
      <c r="A22" s="244">
        <v>1.3500000000000001E-3</v>
      </c>
      <c r="B22" s="244">
        <v>0.238311</v>
      </c>
      <c r="C22" s="245">
        <v>0.334733</v>
      </c>
      <c r="D22" s="246">
        <f>IF(CouplingMode="AC",B22-(A$11-A$10)*SUM(B$9:B22)/0.21,B22)</f>
        <v>0.238311</v>
      </c>
      <c r="E22" s="247">
        <f t="shared" si="9"/>
        <v>35.273380560901977</v>
      </c>
      <c r="F22" s="247">
        <f t="shared" si="0"/>
        <v>35.273380560901977</v>
      </c>
      <c r="G22" s="248">
        <f t="shared" si="1"/>
        <v>9.2873357806419825E+18</v>
      </c>
      <c r="H22" s="249">
        <f t="shared" si="10"/>
        <v>7.0314222173213786E-3</v>
      </c>
      <c r="I22" s="248">
        <f>IF(MobilityModel=DK,CalcDeltaN(H22,SampleDoping,Thickness,AreaFrac),CalcDeltaNDL(H22,AreaFrac,Thickness,SampleType,SampleDoping,Temperature))</f>
        <v>760615872535374</v>
      </c>
      <c r="J22" s="248">
        <f t="shared" si="2"/>
        <v>760615872535374</v>
      </c>
      <c r="K22" s="248">
        <f t="shared" si="11"/>
        <v>760615872535374</v>
      </c>
      <c r="L22" s="250">
        <f t="shared" si="15"/>
        <v>-4.733204053707511E+17</v>
      </c>
      <c r="M22" s="196" t="str">
        <f t="shared" si="3"/>
        <v/>
      </c>
      <c r="N22" s="196" t="str">
        <f t="shared" si="4"/>
        <v/>
      </c>
      <c r="O22" s="250">
        <f t="shared" si="5"/>
        <v>760615872535374</v>
      </c>
      <c r="P22" s="248">
        <f t="shared" si="16"/>
        <v>2.8613323263219345E-6</v>
      </c>
      <c r="Q22" s="250">
        <f t="shared" si="17"/>
        <v>2.8613323263219345E-6</v>
      </c>
      <c r="R22" s="251">
        <f t="shared" si="18"/>
        <v>349487.54145081708</v>
      </c>
      <c r="S22" s="252">
        <f>IF(AND(E22&gt;0.95*BiasLight,E22&lt;1.05*BiasLight),"",IF(AugerModel="Sinton",calclifetimeauger(Auger_Coefficient,I22,P22),calclifetimerichter(SampleType,I22,SampleDoping,P22)))</f>
        <v>349486.58108021785</v>
      </c>
      <c r="T22" s="201">
        <f t="shared" si="19"/>
        <v>349486.58108021785</v>
      </c>
      <c r="U22" s="252">
        <f t="shared" si="12"/>
        <v>349142.18465600169</v>
      </c>
      <c r="V22" s="251" t="str">
        <f>IF(AugerModel="Sinton","",IF(SampleType="n-type",n_intr_boltzmann(SampleDoping,0,K22,Temperature+273.15),n_intr_boltzmann(0,SampleDoping,K22,Temperature+273.15)))</f>
        <v/>
      </c>
      <c r="W22" s="251" t="str">
        <f t="shared" si="13"/>
        <v/>
      </c>
      <c r="X22" s="246">
        <f>IF(AND(A22&gt;TimeofMaxCD,I22&gt;Traps),IF(AugerModel="Sinton",CalcImpliedV(SampleDoping,O22),CalcImpliedVRichter(O22,SampleDoping,V22)),"")</f>
        <v>0.64069989520557458</v>
      </c>
      <c r="Y22" s="253">
        <f t="shared" si="6"/>
        <v>35.336299183778081</v>
      </c>
      <c r="Z22" s="200" t="str">
        <f t="shared" si="7"/>
        <v/>
      </c>
      <c r="AA22" s="254">
        <v>90.410084999999995</v>
      </c>
      <c r="AB22" s="254">
        <v>79.978753946582344</v>
      </c>
      <c r="AC22" s="251">
        <f t="shared" si="14"/>
        <v>1.2503320577711152E-2</v>
      </c>
      <c r="AE22" s="251">
        <f t="shared" si="8"/>
        <v>1648.7212548051307</v>
      </c>
    </row>
    <row r="23" spans="1:31" x14ac:dyDescent="0.2">
      <c r="A23" s="244">
        <v>1.4499999999999999E-3</v>
      </c>
      <c r="B23" s="244">
        <v>0.22392999999999999</v>
      </c>
      <c r="C23" s="245">
        <v>0.31689699999999998</v>
      </c>
      <c r="D23" s="246">
        <f>IF(CouplingMode="AC",B23-(A$11-A$10)*SUM(B$9:B23)/0.21,B23)</f>
        <v>0.22392999999999999</v>
      </c>
      <c r="E23" s="247">
        <f t="shared" si="9"/>
        <v>33.393864601363333</v>
      </c>
      <c r="F23" s="247">
        <f t="shared" si="0"/>
        <v>33.393864601363333</v>
      </c>
      <c r="G23" s="248">
        <f t="shared" si="1"/>
        <v>8.7924669718196347E+18</v>
      </c>
      <c r="H23" s="249">
        <f t="shared" si="10"/>
        <v>6.6064756478459163E-3</v>
      </c>
      <c r="I23" s="248">
        <f>IF(MobilityModel=DK,CalcDeltaN(H23,SampleDoping,Thickness,AreaFrac),CalcDeltaNDL(H23,AreaFrac,Thickness,SampleType,SampleDoping,Temperature))</f>
        <v>714301263726414.75</v>
      </c>
      <c r="J23" s="248">
        <f t="shared" si="2"/>
        <v>714301263726414.75</v>
      </c>
      <c r="K23" s="248">
        <f t="shared" si="11"/>
        <v>714301263726414.75</v>
      </c>
      <c r="L23" s="250">
        <f t="shared" si="15"/>
        <v>-4.4240527185609472E+17</v>
      </c>
      <c r="M23" s="196" t="str">
        <f t="shared" si="3"/>
        <v/>
      </c>
      <c r="N23" s="196" t="str">
        <f t="shared" si="4"/>
        <v/>
      </c>
      <c r="O23" s="250">
        <f t="shared" si="5"/>
        <v>714301263726414.75</v>
      </c>
      <c r="P23" s="248">
        <f t="shared" si="16"/>
        <v>2.8384063202308244E-6</v>
      </c>
      <c r="Q23" s="250">
        <f t="shared" si="17"/>
        <v>2.8384063202308244E-6</v>
      </c>
      <c r="R23" s="251">
        <f t="shared" si="18"/>
        <v>352310.37673234823</v>
      </c>
      <c r="S23" s="252">
        <f>IF(AND(E23&gt;0.95*BiasLight,E23&lt;1.05*BiasLight),"",IF(AugerModel="Sinton",calclifetimeauger(Auger_Coefficient,I23,P23),calclifetimerichter(SampleType,I23,SampleDoping,P23)))</f>
        <v>352309.52975669794</v>
      </c>
      <c r="T23" s="201">
        <f t="shared" si="19"/>
        <v>352309.52975669794</v>
      </c>
      <c r="U23" s="252">
        <f t="shared" si="12"/>
        <v>351017.13570469676</v>
      </c>
      <c r="V23" s="251" t="str">
        <f>IF(AugerModel="Sinton","",IF(SampleType="n-type",n_intr_boltzmann(SampleDoping,0,K23,Temperature+273.15),n_intr_boltzmann(0,SampleDoping,K23,Temperature+273.15)))</f>
        <v/>
      </c>
      <c r="W23" s="251" t="str">
        <f t="shared" si="13"/>
        <v/>
      </c>
      <c r="X23" s="246">
        <f>IF(AND(A23&gt;TimeofMaxCD,I23&gt;Traps),IF(AugerModel="Sinton",CalcImpliedV(SampleDoping,O23),CalcImpliedVRichter(O23,SampleDoping,V23)),"")</f>
        <v>0.63890490998492799</v>
      </c>
      <c r="Y23" s="253">
        <f t="shared" si="6"/>
        <v>33.45267366630636</v>
      </c>
      <c r="Z23" s="200" t="str">
        <f t="shared" si="7"/>
        <v/>
      </c>
      <c r="AA23" s="254">
        <v>95.336296000000004</v>
      </c>
      <c r="AB23" s="254">
        <v>75.918101166391878</v>
      </c>
      <c r="AC23" s="251">
        <f t="shared" si="14"/>
        <v>1.3172089193962733E-2</v>
      </c>
      <c r="AE23" s="251">
        <f t="shared" si="8"/>
        <v>1649.5210569724827</v>
      </c>
    </row>
    <row r="24" spans="1:31" x14ac:dyDescent="0.2">
      <c r="A24" s="244">
        <v>1.5499999999999999E-3</v>
      </c>
      <c r="B24" s="244">
        <v>0.210505</v>
      </c>
      <c r="C24" s="245">
        <v>0.30014600000000002</v>
      </c>
      <c r="D24" s="246">
        <f>IF(CouplingMode="AC",B24-(A$11-A$10)*SUM(B$9:B24)/0.21,B24)</f>
        <v>0.210505</v>
      </c>
      <c r="E24" s="247">
        <f t="shared" si="9"/>
        <v>31.628683403884544</v>
      </c>
      <c r="F24" s="247">
        <f t="shared" si="0"/>
        <v>31.628683403884544</v>
      </c>
      <c r="G24" s="248">
        <f t="shared" si="1"/>
        <v>8.3277020348055552E+18</v>
      </c>
      <c r="H24" s="249">
        <f t="shared" si="10"/>
        <v>6.2098513161743668E-3</v>
      </c>
      <c r="I24" s="248">
        <f>IF(MobilityModel=DK,CalcDeltaN(H24,SampleDoping,Thickness,AreaFrac),CalcDeltaNDL(H24,AreaFrac,Thickness,SampleType,SampleDoping,Temperature))</f>
        <v>671113596181405.25</v>
      </c>
      <c r="J24" s="248" t="str">
        <f t="shared" si="2"/>
        <v/>
      </c>
      <c r="K24" s="248">
        <f t="shared" si="11"/>
        <v>671113596181405.25</v>
      </c>
      <c r="L24" s="250">
        <f t="shared" si="15"/>
        <v>-4.1722751991247066E+17</v>
      </c>
      <c r="M24" s="196" t="str">
        <f t="shared" si="3"/>
        <v/>
      </c>
      <c r="N24" s="196" t="str">
        <f t="shared" si="4"/>
        <v/>
      </c>
      <c r="O24" s="250">
        <f t="shared" si="5"/>
        <v>671113596181405.25</v>
      </c>
      <c r="P24" s="248">
        <f t="shared" si="16"/>
        <v>2.8156457803896481E-6</v>
      </c>
      <c r="Q24" s="250" t="str">
        <f t="shared" si="17"/>
        <v/>
      </c>
      <c r="R24" s="251" t="str">
        <f t="shared" si="18"/>
        <v/>
      </c>
      <c r="S24" s="252">
        <f>IF(AND(E24&gt;0.95*BiasLight,E24&lt;1.05*BiasLight),"",IF(AugerModel="Sinton",calclifetimeauger(Auger_Coefficient,I24,P24),calclifetimerichter(SampleType,I24,SampleDoping,P24)))</f>
        <v>355157.56344009982</v>
      </c>
      <c r="T24" s="201" t="str">
        <f t="shared" si="19"/>
        <v/>
      </c>
      <c r="U24" s="252">
        <f t="shared" si="12"/>
        <v>352765.49901028397</v>
      </c>
      <c r="V24" s="251" t="str">
        <f>IF(AugerModel="Sinton","",IF(SampleType="n-type",n_intr_boltzmann(SampleDoping,0,K24,Temperature+273.15),n_intr_boltzmann(0,SampleDoping,K24,Temperature+273.15)))</f>
        <v/>
      </c>
      <c r="W24" s="251" t="str">
        <f t="shared" si="13"/>
        <v/>
      </c>
      <c r="X24" s="246">
        <f>IF(AND(A24&gt;TimeofMaxCD,I24&gt;Traps),IF(AugerModel="Sinton",CalcImpliedV(SampleDoping,O24),CalcImpliedVRichter(O24,SampleDoping,V24)),"")</f>
        <v>0.63713273766979484</v>
      </c>
      <c r="Y24" s="253">
        <f t="shared" si="6"/>
        <v>31.684145582740612</v>
      </c>
      <c r="Z24" s="200" t="str">
        <f t="shared" si="7"/>
        <v/>
      </c>
      <c r="AA24" s="254">
        <v>100.36487099999999</v>
      </c>
      <c r="AB24" s="254">
        <v>72.365769479720583</v>
      </c>
      <c r="AC24" s="251">
        <f t="shared" si="14"/>
        <v>1.38186881337624E-2</v>
      </c>
      <c r="AE24" s="251">
        <f t="shared" si="8"/>
        <v>1650.2684940634258</v>
      </c>
    </row>
    <row r="25" spans="1:31" x14ac:dyDescent="0.2">
      <c r="A25" s="244">
        <v>1.65E-3</v>
      </c>
      <c r="B25" s="244">
        <v>0.19833000000000001</v>
      </c>
      <c r="C25" s="245">
        <v>0.28437200000000001</v>
      </c>
      <c r="D25" s="246">
        <f>IF(CouplingMode="AC",B25-(A$11-A$10)*SUM(B$9:B25)/0.21,B25)</f>
        <v>0.19833000000000001</v>
      </c>
      <c r="E25" s="247">
        <f t="shared" si="9"/>
        <v>29.966456181090052</v>
      </c>
      <c r="F25" s="247">
        <f t="shared" si="0"/>
        <v>29.966456181090052</v>
      </c>
      <c r="G25" s="248">
        <f t="shared" si="1"/>
        <v>7.890044455170901E+18</v>
      </c>
      <c r="H25" s="249">
        <f t="shared" si="10"/>
        <v>5.8502177706303317E-3</v>
      </c>
      <c r="I25" s="248">
        <f>IF(MobilityModel=DK,CalcDeltaN(H25,SampleDoping,Thickness,AreaFrac),CalcDeltaNDL(H25,AreaFrac,Thickness,SampleType,SampleDoping,Temperature))</f>
        <v>631987287110962.62</v>
      </c>
      <c r="J25" s="248" t="str">
        <f t="shared" si="2"/>
        <v/>
      </c>
      <c r="K25" s="248">
        <f t="shared" si="11"/>
        <v>631987287110962.62</v>
      </c>
      <c r="L25" s="250">
        <f t="shared" si="15"/>
        <v>-3.9292752741090048E+17</v>
      </c>
      <c r="M25" s="196" t="str">
        <f t="shared" si="3"/>
        <v/>
      </c>
      <c r="N25" s="196" t="str">
        <f t="shared" si="4"/>
        <v/>
      </c>
      <c r="O25" s="250">
        <f t="shared" si="5"/>
        <v>631987287110962.62</v>
      </c>
      <c r="P25" s="248">
        <f t="shared" si="16"/>
        <v>2.7985986073029044E-6</v>
      </c>
      <c r="Q25" s="250" t="str">
        <f t="shared" si="17"/>
        <v/>
      </c>
      <c r="R25" s="251" t="str">
        <f t="shared" si="18"/>
        <v/>
      </c>
      <c r="S25" s="252">
        <f>IF(AND(E25&gt;0.95*BiasLight,E25&lt;1.05*BiasLight),"",IF(AugerModel="Sinton",calclifetimeauger(Auger_Coefficient,I25,P25),calclifetimerichter(SampleType,I25,SampleDoping,P25)))</f>
        <v>357321.03270243987</v>
      </c>
      <c r="T25" s="201" t="str">
        <f t="shared" si="19"/>
        <v/>
      </c>
      <c r="U25" s="252">
        <f t="shared" si="12"/>
        <v>354349.44662659202</v>
      </c>
      <c r="V25" s="251" t="str">
        <f>IF(AugerModel="Sinton","",IF(SampleType="n-type",n_intr_boltzmann(SampleDoping,0,K25,Temperature+273.15),n_intr_boltzmann(0,SampleDoping,K25,Temperature+273.15)))</f>
        <v/>
      </c>
      <c r="W25" s="251" t="str">
        <f t="shared" si="13"/>
        <v/>
      </c>
      <c r="X25" s="246">
        <f>IF(AND(A25&gt;TimeofMaxCD,I25&gt;Traps),IF(AugerModel="Sinton",CalcImpliedV(SampleDoping,O25),CalcImpliedVRichter(O25,SampleDoping,V25)),"")</f>
        <v>0.63543458966155075</v>
      </c>
      <c r="Y25" s="253">
        <f t="shared" si="6"/>
        <v>30.018688154684</v>
      </c>
      <c r="Z25" s="200" t="str">
        <f t="shared" si="7"/>
        <v/>
      </c>
      <c r="AA25" s="254">
        <v>105.34564899999999</v>
      </c>
      <c r="AB25" s="254">
        <v>69.054301049082326</v>
      </c>
      <c r="AC25" s="251">
        <f t="shared" si="14"/>
        <v>1.4481357204516794E-2</v>
      </c>
      <c r="AE25" s="251">
        <f t="shared" si="8"/>
        <v>1650.9470113259699</v>
      </c>
    </row>
    <row r="26" spans="1:31" x14ac:dyDescent="0.2">
      <c r="A26" s="244">
        <v>1.75E-3</v>
      </c>
      <c r="B26" s="244">
        <v>0.18623600000000001</v>
      </c>
      <c r="C26" s="245">
        <v>0.26950299999999999</v>
      </c>
      <c r="D26" s="246">
        <f>IF(CouplingMode="AC",B26-(A$11-A$10)*SUM(B$9:B26)/0.21,B26)</f>
        <v>0.18623600000000001</v>
      </c>
      <c r="E26" s="247">
        <f t="shared" si="9"/>
        <v>28.399595741396173</v>
      </c>
      <c r="F26" s="247">
        <f t="shared" si="0"/>
        <v>28.399595741396173</v>
      </c>
      <c r="G26" s="248">
        <f t="shared" si="1"/>
        <v>7.4774965566297795E+18</v>
      </c>
      <c r="H26" s="249">
        <f t="shared" si="10"/>
        <v>5.4930344404641486E-3</v>
      </c>
      <c r="I26" s="248">
        <f>IF(MobilityModel=DK,CalcDeltaN(H26,SampleDoping,Thickness,AreaFrac),CalcDeltaNDL(H26,AreaFrac,Thickness,SampleType,SampleDoping,Temperature))</f>
        <v>593159100886864.75</v>
      </c>
      <c r="J26" s="248" t="str">
        <f t="shared" si="2"/>
        <v/>
      </c>
      <c r="K26" s="248">
        <f t="shared" si="11"/>
        <v>593159100886864.75</v>
      </c>
      <c r="L26" s="250">
        <f t="shared" si="15"/>
        <v>-3.6826921476090982E+17</v>
      </c>
      <c r="M26" s="196" t="str">
        <f t="shared" si="3"/>
        <v/>
      </c>
      <c r="N26" s="196" t="str">
        <f t="shared" si="4"/>
        <v/>
      </c>
      <c r="O26" s="250">
        <f t="shared" si="5"/>
        <v>593159100886864.75</v>
      </c>
      <c r="P26" s="248">
        <f t="shared" si="16"/>
        <v>2.7716286702499275E-6</v>
      </c>
      <c r="Q26" s="250" t="str">
        <f t="shared" si="17"/>
        <v/>
      </c>
      <c r="R26" s="251" t="str">
        <f t="shared" si="18"/>
        <v/>
      </c>
      <c r="S26" s="252">
        <f>IF(AND(E26&gt;0.95*BiasLight,E26&lt;1.05*BiasLight),"",IF(AugerModel="Sinton",calclifetimeauger(Auger_Coefficient,I26,P26),calclifetimerichter(SampleType,I26,SampleDoping,P26)))</f>
        <v>360798.1083333221</v>
      </c>
      <c r="T26" s="201" t="str">
        <f t="shared" si="19"/>
        <v/>
      </c>
      <c r="U26" s="252">
        <f t="shared" si="12"/>
        <v>355921.32535669405</v>
      </c>
      <c r="V26" s="251" t="str">
        <f>IF(AugerModel="Sinton","",IF(SampleType="n-type",n_intr_boltzmann(SampleDoping,0,K26,Temperature+273.15),n_intr_boltzmann(0,SampleDoping,K26,Temperature+273.15)))</f>
        <v/>
      </c>
      <c r="W26" s="251" t="str">
        <f t="shared" si="13"/>
        <v/>
      </c>
      <c r="X26" s="246">
        <f>IF(AND(A26&gt;TimeofMaxCD,I26&gt;Traps),IF(AugerModel="Sinton",CalcImpliedV(SampleDoping,O26),CalcImpliedVRichter(O26,SampleDoping,V26)),"")</f>
        <v>0.63365095284005557</v>
      </c>
      <c r="Y26" s="253">
        <f t="shared" si="6"/>
        <v>28.448549878123639</v>
      </c>
      <c r="Z26" s="200" t="str">
        <f t="shared" si="7"/>
        <v/>
      </c>
      <c r="AA26" s="254">
        <v>110.27310300000001</v>
      </c>
      <c r="AB26" s="254">
        <v>66.262933248499579</v>
      </c>
      <c r="AC26" s="251">
        <f t="shared" si="14"/>
        <v>1.509139349822917E-2</v>
      </c>
      <c r="AE26" s="251">
        <f t="shared" si="8"/>
        <v>1651.6216521726055</v>
      </c>
    </row>
    <row r="27" spans="1:31" x14ac:dyDescent="0.2">
      <c r="A27" s="244">
        <v>1.8500000000000001E-3</v>
      </c>
      <c r="B27" s="244">
        <v>0.174905</v>
      </c>
      <c r="C27" s="245">
        <v>0.255471</v>
      </c>
      <c r="D27" s="246">
        <f>IF(CouplingMode="AC",B27-(A$11-A$10)*SUM(B$9:B27)/0.21,B27)</f>
        <v>0.174905</v>
      </c>
      <c r="E27" s="247">
        <f t="shared" si="9"/>
        <v>26.920936403862747</v>
      </c>
      <c r="F27" s="247">
        <f t="shared" si="0"/>
        <v>26.920936403862747</v>
      </c>
      <c r="G27" s="248">
        <f t="shared" si="1"/>
        <v>7.0881716449121772E+18</v>
      </c>
      <c r="H27" s="249">
        <f t="shared" si="10"/>
        <v>5.1584375702581758E-3</v>
      </c>
      <c r="I27" s="248">
        <f>IF(MobilityModel=DK,CalcDeltaN(H27,SampleDoping,Thickness,AreaFrac),CalcDeltaNDL(H27,AreaFrac,Thickness,SampleType,SampleDoping,Temperature))</f>
        <v>556814747668234.69</v>
      </c>
      <c r="J27" s="248" t="str">
        <f t="shared" si="2"/>
        <v/>
      </c>
      <c r="K27" s="248">
        <f t="shared" si="11"/>
        <v>556814747668234.69</v>
      </c>
      <c r="L27" s="250">
        <f t="shared" si="15"/>
        <v>-3.4505507857298573E+17</v>
      </c>
      <c r="M27" s="196" t="str">
        <f t="shared" si="3"/>
        <v/>
      </c>
      <c r="N27" s="196" t="str">
        <f t="shared" si="4"/>
        <v/>
      </c>
      <c r="O27" s="250">
        <f t="shared" si="5"/>
        <v>556814747668234.69</v>
      </c>
      <c r="P27" s="248">
        <f t="shared" si="16"/>
        <v>2.7447653372902988E-6</v>
      </c>
      <c r="Q27" s="250" t="str">
        <f t="shared" si="17"/>
        <v/>
      </c>
      <c r="R27" s="251" t="str">
        <f t="shared" si="18"/>
        <v/>
      </c>
      <c r="S27" s="252">
        <f>IF(AND(E27&gt;0.95*BiasLight,E27&lt;1.05*BiasLight),"",IF(AugerModel="Sinton",calclifetimeauger(Auger_Coefficient,I27,P27),calclifetimerichter(SampleType,I27,SampleDoping,P27)))</f>
        <v>364329.35587003373</v>
      </c>
      <c r="T27" s="201" t="str">
        <f t="shared" si="19"/>
        <v/>
      </c>
      <c r="U27" s="252">
        <f t="shared" si="12"/>
        <v>357392.65125005308</v>
      </c>
      <c r="V27" s="251" t="str">
        <f>IF(AugerModel="Sinton","",IF(SampleType="n-type",n_intr_boltzmann(SampleDoping,0,K27,Temperature+273.15),n_intr_boltzmann(0,SampleDoping,K27,Temperature+273.15)))</f>
        <v/>
      </c>
      <c r="W27" s="251" t="str">
        <f t="shared" si="13"/>
        <v/>
      </c>
      <c r="X27" s="246">
        <f>IF(AND(A27&gt;TimeofMaxCD,I27&gt;Traps),IF(AugerModel="Sinton",CalcImpliedV(SampleDoping,O27),CalcImpliedVRichter(O27,SampleDoping,V27)),"")</f>
        <v>0.63188089986907747</v>
      </c>
      <c r="Y27" s="253">
        <f t="shared" si="6"/>
        <v>26.966804678532231</v>
      </c>
      <c r="Z27" s="200" t="str">
        <f t="shared" si="7"/>
        <v/>
      </c>
      <c r="AA27" s="254">
        <v>115.26505400000001</v>
      </c>
      <c r="AB27" s="254">
        <v>63.844273377368133</v>
      </c>
      <c r="AC27" s="251">
        <f t="shared" si="14"/>
        <v>1.5663111930011964E-2</v>
      </c>
      <c r="AE27" s="251">
        <f t="shared" si="8"/>
        <v>1652.2543099152397</v>
      </c>
    </row>
    <row r="28" spans="1:31" x14ac:dyDescent="0.2">
      <c r="A28" s="244">
        <v>1.9499999999999999E-3</v>
      </c>
      <c r="B28" s="244">
        <v>0.16484199999999999</v>
      </c>
      <c r="C28" s="245">
        <v>0.242205</v>
      </c>
      <c r="D28" s="246">
        <f>IF(CouplingMode="AC",B28-(A$11-A$10)*SUM(B$9:B28)/0.21,B28)</f>
        <v>0.16484199999999999</v>
      </c>
      <c r="E28" s="247">
        <f t="shared" si="9"/>
        <v>25.522996354566963</v>
      </c>
      <c r="F28" s="247">
        <f t="shared" si="0"/>
        <v>25.522996354566963</v>
      </c>
      <c r="G28" s="248">
        <f t="shared" si="1"/>
        <v>6.7200997892361708E+18</v>
      </c>
      <c r="H28" s="249">
        <f t="shared" si="10"/>
        <v>4.8613261298741071E-3</v>
      </c>
      <c r="I28" s="248">
        <f>IF(MobilityModel=DK,CalcDeltaN(H28,SampleDoping,Thickness,AreaFrac),CalcDeltaNDL(H28,AreaFrac,Thickness,SampleType,SampleDoping,Temperature))</f>
        <v>524565258522314.31</v>
      </c>
      <c r="J28" s="248" t="str">
        <f t="shared" si="2"/>
        <v/>
      </c>
      <c r="K28" s="248">
        <f t="shared" si="11"/>
        <v>524565258522314.31</v>
      </c>
      <c r="L28" s="250">
        <f t="shared" si="15"/>
        <v>-3.196325115183079E+17</v>
      </c>
      <c r="M28" s="196" t="str">
        <f t="shared" si="3"/>
        <v/>
      </c>
      <c r="N28" s="196" t="str">
        <f t="shared" si="4"/>
        <v/>
      </c>
      <c r="O28" s="250">
        <f t="shared" si="5"/>
        <v>524565258522314.31</v>
      </c>
      <c r="P28" s="248">
        <f t="shared" si="16"/>
        <v>2.7275295566822044E-6</v>
      </c>
      <c r="Q28" s="250" t="str">
        <f t="shared" si="17"/>
        <v/>
      </c>
      <c r="R28" s="251" t="str">
        <f t="shared" si="18"/>
        <v/>
      </c>
      <c r="S28" s="252">
        <f>IF(AND(E28&gt;0.95*BiasLight,E28&lt;1.05*BiasLight),"",IF(AugerModel="Sinton",calclifetimeauger(Auger_Coefficient,I28,P28),calclifetimerichter(SampleType,I28,SampleDoping,P28)))</f>
        <v>366631.68385067704</v>
      </c>
      <c r="T28" s="201" t="str">
        <f t="shared" si="19"/>
        <v/>
      </c>
      <c r="U28" s="252">
        <f t="shared" si="12"/>
        <v>358698.20504936157</v>
      </c>
      <c r="V28" s="251" t="str">
        <f>IF(AugerModel="Sinton","",IF(SampleType="n-type",n_intr_boltzmann(SampleDoping,0,K28,Temperature+273.15),n_intr_boltzmann(0,SampleDoping,K28,Temperature+273.15)))</f>
        <v/>
      </c>
      <c r="W28" s="251" t="str">
        <f t="shared" si="13"/>
        <v/>
      </c>
      <c r="X28" s="246">
        <f>IF(AND(A28&gt;TimeofMaxCD,I28&gt;Traps),IF(AugerModel="Sinton",CalcImpliedV(SampleDoping,O28),CalcImpliedVRichter(O28,SampleDoping,V28)),"")</f>
        <v>0.6302182085307505</v>
      </c>
      <c r="Y28" s="253">
        <f t="shared" si="6"/>
        <v>25.565485199803643</v>
      </c>
      <c r="Z28" s="200" t="str">
        <f t="shared" si="7"/>
        <v/>
      </c>
      <c r="AA28" s="254">
        <v>120.331946</v>
      </c>
      <c r="AB28" s="254">
        <v>61.626569762506314</v>
      </c>
      <c r="AC28" s="251">
        <f t="shared" si="14"/>
        <v>1.6226767185870555E-2</v>
      </c>
      <c r="AE28" s="251">
        <f t="shared" si="8"/>
        <v>1652.816641859381</v>
      </c>
    </row>
    <row r="29" spans="1:31" x14ac:dyDescent="0.2">
      <c r="A29" s="244">
        <v>2.0500000000000002E-3</v>
      </c>
      <c r="B29" s="244">
        <v>0.155221</v>
      </c>
      <c r="C29" s="245">
        <v>0.229737</v>
      </c>
      <c r="D29" s="246">
        <f>IF(CouplingMode="AC",B29-(A$11-A$10)*SUM(B$9:B29)/0.21,B29)</f>
        <v>0.155221</v>
      </c>
      <c r="E29" s="247">
        <f t="shared" si="9"/>
        <v>24.209147678657128</v>
      </c>
      <c r="F29" s="247">
        <f t="shared" si="0"/>
        <v>24.209147678657128</v>
      </c>
      <c r="G29" s="248">
        <f t="shared" si="1"/>
        <v>6.3741688457288253E+18</v>
      </c>
      <c r="H29" s="249">
        <f t="shared" si="10"/>
        <v>4.5773019525461277E-3</v>
      </c>
      <c r="I29" s="248">
        <f>IF(MobilityModel=DK,CalcDeltaN(H29,SampleDoping,Thickness,AreaFrac),CalcDeltaNDL(H29,AreaFrac,Thickness,SampleType,SampleDoping,Temperature))</f>
        <v>493756669006744.94</v>
      </c>
      <c r="J29" s="248" t="str">
        <f t="shared" si="2"/>
        <v/>
      </c>
      <c r="K29" s="248">
        <f t="shared" si="11"/>
        <v>493756669006744.94</v>
      </c>
      <c r="L29" s="250">
        <f t="shared" si="15"/>
        <v>-2.9726641626880672E+17</v>
      </c>
      <c r="M29" s="196" t="str">
        <f t="shared" si="3"/>
        <v/>
      </c>
      <c r="N29" s="196" t="str">
        <f t="shared" si="4"/>
        <v/>
      </c>
      <c r="O29" s="250">
        <f t="shared" si="5"/>
        <v>493756669006744.94</v>
      </c>
      <c r="P29" s="248">
        <f t="shared" si="16"/>
        <v>2.7067562629921005E-6</v>
      </c>
      <c r="Q29" s="250" t="str">
        <f t="shared" si="17"/>
        <v/>
      </c>
      <c r="R29" s="251" t="str">
        <f t="shared" si="18"/>
        <v/>
      </c>
      <c r="S29" s="252">
        <f>IF(AND(E29&gt;0.95*BiasLight,E29&lt;1.05*BiasLight),"",IF(AugerModel="Sinton",calclifetimeauger(Auger_Coefficient,I29,P29),calclifetimerichter(SampleType,I29,SampleDoping,P29)))</f>
        <v>369445.49394640431</v>
      </c>
      <c r="T29" s="201" t="str">
        <f t="shared" si="19"/>
        <v/>
      </c>
      <c r="U29" s="252">
        <f t="shared" si="12"/>
        <v>359945.42701034801</v>
      </c>
      <c r="V29" s="251" t="str">
        <f>IF(AugerModel="Sinton","",IF(SampleType="n-type",n_intr_boltzmann(SampleDoping,0,K29,Temperature+273.15),n_intr_boltzmann(0,SampleDoping,K29,Temperature+273.15)))</f>
        <v/>
      </c>
      <c r="W29" s="251" t="str">
        <f t="shared" si="13"/>
        <v/>
      </c>
      <c r="X29" s="246">
        <f>IF(AND(A29&gt;TimeofMaxCD,I29&gt;Traps),IF(AugerModel="Sinton",CalcImpliedV(SampleDoping,O29),CalcImpliedVRichter(O29,SampleDoping,V29)),"")</f>
        <v>0.62853850362608321</v>
      </c>
      <c r="Y29" s="253">
        <f t="shared" si="6"/>
        <v>24.2486633921711</v>
      </c>
      <c r="Z29" s="200" t="str">
        <f t="shared" si="7"/>
        <v/>
      </c>
      <c r="AA29" s="254">
        <v>125.249932</v>
      </c>
      <c r="AB29" s="254">
        <v>59.817660190827191</v>
      </c>
      <c r="AC29" s="251">
        <f t="shared" si="14"/>
        <v>1.6717471007890512E-2</v>
      </c>
      <c r="AE29" s="251">
        <f t="shared" si="8"/>
        <v>1653.3546912487423</v>
      </c>
    </row>
    <row r="30" spans="1:31" x14ac:dyDescent="0.2">
      <c r="A30" s="244">
        <v>2.15E-3</v>
      </c>
      <c r="B30" s="244">
        <v>0.14619399999999999</v>
      </c>
      <c r="C30" s="245">
        <v>0.21806500000000001</v>
      </c>
      <c r="D30" s="246">
        <f>IF(CouplingMode="AC",B30-(A$11-A$10)*SUM(B$9:B30)/0.21,B30)</f>
        <v>0.14619399999999999</v>
      </c>
      <c r="E30" s="247">
        <f t="shared" si="9"/>
        <v>22.979179620811479</v>
      </c>
      <c r="F30" s="247">
        <f t="shared" si="0"/>
        <v>22.979179620811479</v>
      </c>
      <c r="G30" s="248">
        <f t="shared" si="1"/>
        <v>6.0503233233821983E+18</v>
      </c>
      <c r="H30" s="249">
        <f t="shared" si="10"/>
        <v>4.3108464365419034E-3</v>
      </c>
      <c r="I30" s="248">
        <f>IF(MobilityModel=DK,CalcDeltaN(H30,SampleDoping,Thickness,AreaFrac),CalcDeltaNDL(H30,AreaFrac,Thickness,SampleType,SampleDoping,Temperature))</f>
        <v>464871884458455.69</v>
      </c>
      <c r="J30" s="248" t="str">
        <f t="shared" si="2"/>
        <v/>
      </c>
      <c r="K30" s="248">
        <f t="shared" si="11"/>
        <v>464871884458455.69</v>
      </c>
      <c r="L30" s="250">
        <f t="shared" si="15"/>
        <v>-2.8125243230146774E+17</v>
      </c>
      <c r="M30" s="196" t="str">
        <f t="shared" si="3"/>
        <v/>
      </c>
      <c r="N30" s="196" t="str">
        <f t="shared" si="4"/>
        <v/>
      </c>
      <c r="O30" s="250">
        <f t="shared" si="5"/>
        <v>464871884458455.69</v>
      </c>
      <c r="P30" s="248">
        <f t="shared" si="16"/>
        <v>2.6848295650047655E-6</v>
      </c>
      <c r="Q30" s="250" t="str">
        <f t="shared" si="17"/>
        <v/>
      </c>
      <c r="R30" s="251" t="str">
        <f t="shared" si="18"/>
        <v/>
      </c>
      <c r="S30" s="252">
        <f>IF(AND(E30&gt;0.95*BiasLight,E30&lt;1.05*BiasLight),"",IF(AugerModel="Sinton",calclifetimeauger(Auger_Coefficient,I30,P30),calclifetimerichter(SampleType,I30,SampleDoping,P30)))</f>
        <v>372462.76258653228</v>
      </c>
      <c r="T30" s="201" t="str">
        <f t="shared" si="19"/>
        <v/>
      </c>
      <c r="U30" s="252">
        <f t="shared" si="12"/>
        <v>361114.76771024551</v>
      </c>
      <c r="V30" s="251" t="str">
        <f>IF(AugerModel="Sinton","",IF(SampleType="n-type",n_intr_boltzmann(SampleDoping,0,K30,Temperature+273.15),n_intr_boltzmann(0,SampleDoping,K30,Temperature+273.15)))</f>
        <v/>
      </c>
      <c r="W30" s="251" t="str">
        <f t="shared" si="13"/>
        <v/>
      </c>
      <c r="X30" s="246">
        <f>IF(AND(A30&gt;TimeofMaxCD,I30&gt;Traps),IF(AugerModel="Sinton",CalcImpliedV(SampleDoping,O30),CalcImpliedVRichter(O30,SampleDoping,V30)),"")</f>
        <v>0.62687235752888792</v>
      </c>
      <c r="Y30" s="253">
        <f t="shared" si="6"/>
        <v>23.016566590652975</v>
      </c>
      <c r="Z30" s="200" t="str">
        <f t="shared" si="7"/>
        <v/>
      </c>
      <c r="AA30" s="254">
        <v>130.32804899999999</v>
      </c>
      <c r="AB30" s="254">
        <v>57.975642270021304</v>
      </c>
      <c r="AC30" s="251">
        <f t="shared" si="14"/>
        <v>1.724862305694699E-2</v>
      </c>
      <c r="AE30" s="251">
        <f t="shared" si="8"/>
        <v>1653.8598934937306</v>
      </c>
    </row>
    <row r="31" spans="1:31" x14ac:dyDescent="0.2">
      <c r="A31" s="244">
        <v>2.2499999999999998E-3</v>
      </c>
      <c r="B31" s="244">
        <v>0.137799</v>
      </c>
      <c r="C31" s="245">
        <v>0.207012</v>
      </c>
      <c r="D31" s="246">
        <f>IF(CouplingMode="AC",B31-(A$11-A$10)*SUM(B$9:B31)/0.21,B31)</f>
        <v>0.137799</v>
      </c>
      <c r="E31" s="247">
        <f t="shared" si="9"/>
        <v>21.81444033505343</v>
      </c>
      <c r="F31" s="247">
        <f t="shared" si="0"/>
        <v>21.81444033505343</v>
      </c>
      <c r="G31" s="248">
        <f t="shared" si="1"/>
        <v>5.7436522679934689E+18</v>
      </c>
      <c r="H31" s="249">
        <f t="shared" si="10"/>
        <v>4.0630747468632204E-3</v>
      </c>
      <c r="I31" s="248">
        <f>IF(MobilityModel=DK,CalcDeltaN(H31,SampleDoping,Thickness,AreaFrac),CalcDeltaNDL(H31,AreaFrac,Thickness,SampleType,SampleDoping,Temperature))</f>
        <v>438028226565760.69</v>
      </c>
      <c r="J31" s="248" t="str">
        <f t="shared" si="2"/>
        <v/>
      </c>
      <c r="K31" s="248">
        <f t="shared" si="11"/>
        <v>438028226565760.69</v>
      </c>
      <c r="L31" s="250">
        <f t="shared" si="15"/>
        <v>-2.6269938029539962E+17</v>
      </c>
      <c r="M31" s="196" t="str">
        <f t="shared" si="3"/>
        <v/>
      </c>
      <c r="N31" s="196" t="str">
        <f t="shared" si="4"/>
        <v/>
      </c>
      <c r="O31" s="250">
        <f t="shared" si="5"/>
        <v>438028226565760.69</v>
      </c>
      <c r="P31" s="248">
        <f t="shared" si="16"/>
        <v>2.6649393953787757E-6</v>
      </c>
      <c r="Q31" s="250" t="str">
        <f t="shared" si="17"/>
        <v/>
      </c>
      <c r="R31" s="251" t="str">
        <f t="shared" si="18"/>
        <v/>
      </c>
      <c r="S31" s="252">
        <f>IF(AND(E31&gt;0.95*BiasLight,E31&lt;1.05*BiasLight),"",IF(AugerModel="Sinton",calclifetimeauger(Auger_Coefficient,I31,P31),calclifetimerichter(SampleType,I31,SampleDoping,P31)))</f>
        <v>375242.73645596631</v>
      </c>
      <c r="T31" s="201" t="str">
        <f t="shared" si="19"/>
        <v/>
      </c>
      <c r="U31" s="252">
        <f t="shared" si="12"/>
        <v>362201.47762340325</v>
      </c>
      <c r="V31" s="251" t="str">
        <f>IF(AugerModel="Sinton","",IF(SampleType="n-type",n_intr_boltzmann(SampleDoping,0,K31,Temperature+273.15),n_intr_boltzmann(0,SampleDoping,K31,Temperature+273.15)))</f>
        <v/>
      </c>
      <c r="W31" s="251" t="str">
        <f t="shared" si="13"/>
        <v/>
      </c>
      <c r="X31" s="246">
        <f>IF(AND(A31&gt;TimeofMaxCD,I31&gt;Traps),IF(AugerModel="Sinton",CalcImpliedV(SampleDoping,O31),CalcImpliedVRichter(O31,SampleDoping,V31)),"")</f>
        <v>0.62523464791715877</v>
      </c>
      <c r="Y31" s="253">
        <f t="shared" si="6"/>
        <v>21.849361042149596</v>
      </c>
      <c r="Z31" s="200" t="str">
        <f t="shared" si="7"/>
        <v/>
      </c>
      <c r="AA31" s="254">
        <v>135.227734</v>
      </c>
      <c r="AB31" s="254">
        <v>56.502436837114743</v>
      </c>
      <c r="AC31" s="251">
        <f t="shared" si="14"/>
        <v>1.769835171680826E-2</v>
      </c>
      <c r="AE31" s="251">
        <f t="shared" si="8"/>
        <v>1654.3300497981411</v>
      </c>
    </row>
    <row r="32" spans="1:31" x14ac:dyDescent="0.2">
      <c r="A32" s="244">
        <v>2.3500000000000001E-3</v>
      </c>
      <c r="B32" s="244">
        <v>0.12959200000000001</v>
      </c>
      <c r="C32" s="245">
        <v>0.196522</v>
      </c>
      <c r="D32" s="246">
        <f>IF(CouplingMode="AC",B32-(A$11-A$10)*SUM(B$9:B32)/0.21,B32)</f>
        <v>0.12959200000000001</v>
      </c>
      <c r="E32" s="247">
        <f t="shared" si="9"/>
        <v>20.709028672373439</v>
      </c>
      <c r="F32" s="247">
        <f t="shared" si="0"/>
        <v>20.709028672373439</v>
      </c>
      <c r="G32" s="248">
        <f t="shared" si="1"/>
        <v>5.4526019313402726E+18</v>
      </c>
      <c r="H32" s="249">
        <f t="shared" si="10"/>
        <v>3.8208784567938872E-3</v>
      </c>
      <c r="I32" s="248">
        <f>IF(MobilityModel=DK,CalcDeltaN(H32,SampleDoping,Thickness,AreaFrac),CalcDeltaNDL(H32,AreaFrac,Thickness,SampleType,SampleDoping,Temperature))</f>
        <v>411803263592072.56</v>
      </c>
      <c r="J32" s="248" t="str">
        <f t="shared" si="2"/>
        <v/>
      </c>
      <c r="K32" s="248">
        <f t="shared" si="11"/>
        <v>411803263592072.56</v>
      </c>
      <c r="L32" s="250">
        <f t="shared" si="15"/>
        <v>-2.470030278706999E+17</v>
      </c>
      <c r="M32" s="196" t="str">
        <f t="shared" si="3"/>
        <v/>
      </c>
      <c r="N32" s="196" t="str">
        <f t="shared" si="4"/>
        <v/>
      </c>
      <c r="O32" s="250">
        <f t="shared" si="5"/>
        <v>411803263592072.56</v>
      </c>
      <c r="P32" s="248">
        <f t="shared" si="16"/>
        <v>2.6391617385626852E-6</v>
      </c>
      <c r="Q32" s="250" t="str">
        <f t="shared" si="17"/>
        <v/>
      </c>
      <c r="R32" s="251" t="str">
        <f t="shared" si="18"/>
        <v/>
      </c>
      <c r="S32" s="252">
        <f>IF(AND(E32&gt;0.95*BiasLight,E32&lt;1.05*BiasLight),"",IF(AugerModel="Sinton",calclifetimeauger(Auger_Coefficient,I32,P32),calclifetimerichter(SampleType,I32,SampleDoping,P32)))</f>
        <v>378907.9094503487</v>
      </c>
      <c r="T32" s="201" t="str">
        <f t="shared" si="19"/>
        <v/>
      </c>
      <c r="U32" s="252">
        <f t="shared" si="12"/>
        <v>363263.14095369988</v>
      </c>
      <c r="V32" s="251" t="str">
        <f>IF(AugerModel="Sinton","",IF(SampleType="n-type",n_intr_boltzmann(SampleDoping,0,K32,Temperature+273.15),n_intr_boltzmann(0,SampleDoping,K32,Temperature+273.15)))</f>
        <v/>
      </c>
      <c r="W32" s="251" t="str">
        <f t="shared" si="13"/>
        <v/>
      </c>
      <c r="X32" s="246">
        <f>IF(AND(A32&gt;TimeofMaxCD,I32&gt;Traps),IF(AugerModel="Sinton",CalcImpliedV(SampleDoping,O32),CalcImpliedVRichter(O32,SampleDoping,V32)),"")</f>
        <v>0.62354097533178277</v>
      </c>
      <c r="Y32" s="253">
        <f t="shared" si="6"/>
        <v>20.741862858652979</v>
      </c>
      <c r="Z32" s="200" t="str">
        <f t="shared" si="7"/>
        <v/>
      </c>
      <c r="AA32" s="254">
        <v>140.19493399999999</v>
      </c>
      <c r="AB32" s="254">
        <v>55.159178620239331</v>
      </c>
      <c r="AC32" s="251">
        <f t="shared" si="14"/>
        <v>1.8129349004357257E-2</v>
      </c>
      <c r="AE32" s="251">
        <f t="shared" si="8"/>
        <v>1654.7899805120198</v>
      </c>
    </row>
    <row r="33" spans="1:31" x14ac:dyDescent="0.2">
      <c r="A33" s="244">
        <v>2.4499999999999999E-3</v>
      </c>
      <c r="B33" s="244">
        <v>0.122433</v>
      </c>
      <c r="C33" s="245">
        <v>0.186644</v>
      </c>
      <c r="D33" s="246">
        <f>IF(CouplingMode="AC",B33-(A$11-A$10)*SUM(B$9:B33)/0.21,B33)</f>
        <v>0.122433</v>
      </c>
      <c r="E33" s="247">
        <f t="shared" si="9"/>
        <v>19.668108138154853</v>
      </c>
      <c r="F33" s="247">
        <f t="shared" si="0"/>
        <v>19.668108138154853</v>
      </c>
      <c r="G33" s="248">
        <f t="shared" si="1"/>
        <v>5.1785318431171768E+18</v>
      </c>
      <c r="H33" s="249">
        <f t="shared" si="10"/>
        <v>3.6096312136908344E-3</v>
      </c>
      <c r="I33" s="248">
        <f>IF(MobilityModel=DK,CalcDeltaN(H33,SampleDoping,Thickness,AreaFrac),CalcDeltaNDL(H33,AreaFrac,Thickness,SampleType,SampleDoping,Temperature))</f>
        <v>388941289292236.75</v>
      </c>
      <c r="J33" s="248" t="str">
        <f t="shared" si="2"/>
        <v/>
      </c>
      <c r="K33" s="248">
        <f t="shared" si="11"/>
        <v>388941289292236.75</v>
      </c>
      <c r="L33" s="250">
        <f t="shared" si="15"/>
        <v>-2.3194968162209139E+17</v>
      </c>
      <c r="M33" s="196" t="str">
        <f t="shared" si="3"/>
        <v/>
      </c>
      <c r="N33" s="196" t="str">
        <f t="shared" si="4"/>
        <v/>
      </c>
      <c r="O33" s="250">
        <f t="shared" si="5"/>
        <v>388941289292236.75</v>
      </c>
      <c r="P33" s="248">
        <f t="shared" si="16"/>
        <v>2.6246122082805772E-6</v>
      </c>
      <c r="Q33" s="250" t="str">
        <f t="shared" si="17"/>
        <v/>
      </c>
      <c r="R33" s="251" t="str">
        <f t="shared" si="18"/>
        <v/>
      </c>
      <c r="S33" s="252">
        <f>IF(AND(E33&gt;0.95*BiasLight,E33&lt;1.05*BiasLight),"",IF(AugerModel="Sinton",calclifetimeauger(Auger_Coefficient,I33,P33),calclifetimerichter(SampleType,I33,SampleDoping,P33)))</f>
        <v>381008.41631391342</v>
      </c>
      <c r="T33" s="201" t="str">
        <f t="shared" si="19"/>
        <v/>
      </c>
      <c r="U33" s="252">
        <f t="shared" si="12"/>
        <v>364188.66065020708</v>
      </c>
      <c r="V33" s="251" t="str">
        <f>IF(AugerModel="Sinton","",IF(SampleType="n-type",n_intr_boltzmann(SampleDoping,0,K33,Temperature+273.15),n_intr_boltzmann(0,SampleDoping,K33,Temperature+273.15)))</f>
        <v/>
      </c>
      <c r="W33" s="251" t="str">
        <f t="shared" si="13"/>
        <v/>
      </c>
      <c r="X33" s="246">
        <f>IF(AND(A33&gt;TimeofMaxCD,I33&gt;Traps),IF(AugerModel="Sinton",CalcImpliedV(SampleDoping,O33),CalcImpliedVRichter(O33,SampleDoping,V33)),"")</f>
        <v>0.62197943180414406</v>
      </c>
      <c r="Y33" s="253">
        <f t="shared" si="6"/>
        <v>19.698941278620836</v>
      </c>
      <c r="Z33" s="200" t="str">
        <f t="shared" si="7"/>
        <v/>
      </c>
      <c r="AA33" s="254">
        <v>145.283601</v>
      </c>
      <c r="AB33" s="254">
        <v>53.873357745821281</v>
      </c>
      <c r="AC33" s="251">
        <f t="shared" si="14"/>
        <v>1.8562050739775276E-2</v>
      </c>
      <c r="AE33" s="251">
        <f t="shared" si="8"/>
        <v>1655.1914255681572</v>
      </c>
    </row>
    <row r="34" spans="1:31" x14ac:dyDescent="0.2">
      <c r="A34" s="244">
        <v>2.5500000000000002E-3</v>
      </c>
      <c r="B34" s="244">
        <v>0.115218</v>
      </c>
      <c r="C34" s="245">
        <v>0.17726800000000001</v>
      </c>
      <c r="D34" s="246">
        <f>IF(CouplingMode="AC",B34-(A$11-A$10)*SUM(B$9:B34)/0.21,B34)</f>
        <v>0.115218</v>
      </c>
      <c r="E34" s="247">
        <f t="shared" si="9"/>
        <v>18.680087189700362</v>
      </c>
      <c r="F34" s="247">
        <f t="shared" si="0"/>
        <v>18.680087189700362</v>
      </c>
      <c r="G34" s="248">
        <f t="shared" si="1"/>
        <v>4.9183899978873989E+18</v>
      </c>
      <c r="H34" s="249">
        <f t="shared" si="10"/>
        <v>3.3967518725485299E-3</v>
      </c>
      <c r="I34" s="248">
        <f>IF(MobilityModel=DK,CalcDeltaN(H34,SampleDoping,Thickness,AreaFrac),CalcDeltaNDL(H34,AreaFrac,Thickness,SampleType,SampleDoping,Temperature))</f>
        <v>365913839159867.62</v>
      </c>
      <c r="J34" s="248" t="str">
        <f t="shared" si="2"/>
        <v/>
      </c>
      <c r="K34" s="248">
        <f t="shared" si="11"/>
        <v>365913839159867.62</v>
      </c>
      <c r="L34" s="250">
        <f t="shared" si="15"/>
        <v>-2.1769906632028128E+17</v>
      </c>
      <c r="M34" s="196" t="str">
        <f t="shared" si="3"/>
        <v/>
      </c>
      <c r="N34" s="196" t="str">
        <f t="shared" si="4"/>
        <v/>
      </c>
      <c r="O34" s="250">
        <f t="shared" si="5"/>
        <v>365913839159867.62</v>
      </c>
      <c r="P34" s="248">
        <f t="shared" si="16"/>
        <v>2.5998700288841228E-6</v>
      </c>
      <c r="Q34" s="250" t="str">
        <f t="shared" si="17"/>
        <v/>
      </c>
      <c r="R34" s="251" t="str">
        <f t="shared" si="18"/>
        <v/>
      </c>
      <c r="S34" s="252">
        <f>IF(AND(E34&gt;0.95*BiasLight,E34&lt;1.05*BiasLight),"",IF(AugerModel="Sinton",calclifetimeauger(Auger_Coefficient,I34,P34),calclifetimerichter(SampleType,I34,SampleDoping,P34)))</f>
        <v>384634.38981069886</v>
      </c>
      <c r="T34" s="201" t="str">
        <f t="shared" si="19"/>
        <v/>
      </c>
      <c r="U34" s="252">
        <f t="shared" si="12"/>
        <v>365120.87929319614</v>
      </c>
      <c r="V34" s="251" t="str">
        <f>IF(AugerModel="Sinton","",IF(SampleType="n-type",n_intr_boltzmann(SampleDoping,0,K34,Temperature+273.15),n_intr_boltzmann(0,SampleDoping,K34,Temperature+273.15)))</f>
        <v/>
      </c>
      <c r="W34" s="251" t="str">
        <f t="shared" si="13"/>
        <v/>
      </c>
      <c r="X34" s="246">
        <f>IF(AND(A34&gt;TimeofMaxCD,I34&gt;Traps),IF(AugerModel="Sinton",CalcImpliedV(SampleDoping,O34),CalcImpliedVRichter(O34,SampleDoping,V34)),"")</f>
        <v>0.62031632597354691</v>
      </c>
      <c r="Y34" s="253">
        <f t="shared" si="6"/>
        <v>18.709025991617327</v>
      </c>
      <c r="Z34" s="200" t="str">
        <f t="shared" si="7"/>
        <v/>
      </c>
      <c r="AA34" s="254">
        <v>150.24120099999999</v>
      </c>
      <c r="AB34" s="254">
        <v>52.729241145080408</v>
      </c>
      <c r="AC34" s="251">
        <f t="shared" si="14"/>
        <v>1.8964809245947192E-2</v>
      </c>
      <c r="AE34" s="251">
        <f t="shared" si="8"/>
        <v>1655.5962431014395</v>
      </c>
    </row>
    <row r="35" spans="1:31" x14ac:dyDescent="0.2">
      <c r="A35" s="244">
        <v>2.65E-3</v>
      </c>
      <c r="B35" s="244">
        <v>0.10866099999999999</v>
      </c>
      <c r="C35" s="245">
        <v>0.168409</v>
      </c>
      <c r="D35" s="246">
        <f>IF(CouplingMode="AC",B35-(A$11-A$10)*SUM(B$9:B35)/0.21,B35)</f>
        <v>0.10866099999999999</v>
      </c>
      <c r="E35" s="247">
        <f t="shared" si="9"/>
        <v>17.746546491923237</v>
      </c>
      <c r="F35" s="247">
        <f t="shared" si="0"/>
        <v>17.746546491923237</v>
      </c>
      <c r="G35" s="248">
        <f t="shared" si="1"/>
        <v>4.6725925782105006E+18</v>
      </c>
      <c r="H35" s="249">
        <f t="shared" si="10"/>
        <v>3.2033046071887894E-3</v>
      </c>
      <c r="I35" s="248">
        <f>IF(MobilityModel=DK,CalcDeltaN(H35,SampleDoping,Thickness,AreaFrac),CalcDeltaNDL(H35,AreaFrac,Thickness,SampleType,SampleDoping,Temperature))</f>
        <v>344998097970817.44</v>
      </c>
      <c r="J35" s="248" t="str">
        <f t="shared" si="2"/>
        <v/>
      </c>
      <c r="K35" s="248">
        <f t="shared" si="11"/>
        <v>344998097970817.44</v>
      </c>
      <c r="L35" s="250">
        <f t="shared" si="15"/>
        <v>-2.0596612303157699E+17</v>
      </c>
      <c r="M35" s="196" t="str">
        <f t="shared" si="3"/>
        <v/>
      </c>
      <c r="N35" s="196" t="str">
        <f t="shared" si="4"/>
        <v/>
      </c>
      <c r="O35" s="250">
        <f t="shared" si="5"/>
        <v>344998097970817.44</v>
      </c>
      <c r="P35" s="248">
        <f t="shared" si="16"/>
        <v>2.5802234787757104E-6</v>
      </c>
      <c r="Q35" s="250" t="str">
        <f t="shared" si="17"/>
        <v/>
      </c>
      <c r="R35" s="251" t="str">
        <f t="shared" si="18"/>
        <v/>
      </c>
      <c r="S35" s="252">
        <f>IF(AND(E35&gt;0.95*BiasLight,E35&lt;1.05*BiasLight),"",IF(AugerModel="Sinton",calclifetimeauger(Auger_Coefficient,I35,P35),calclifetimerichter(SampleType,I35,SampleDoping,P35)))</f>
        <v>387563.13103378378</v>
      </c>
      <c r="T35" s="201" t="str">
        <f t="shared" si="19"/>
        <v/>
      </c>
      <c r="U35" s="252">
        <f t="shared" si="12"/>
        <v>365967.60977165931</v>
      </c>
      <c r="V35" s="251" t="str">
        <f>IF(AugerModel="Sinton","",IF(SampleType="n-type",n_intr_boltzmann(SampleDoping,0,K35,Temperature+273.15),n_intr_boltzmann(0,SampleDoping,K35,Temperature+273.15)))</f>
        <v/>
      </c>
      <c r="W35" s="251" t="str">
        <f t="shared" si="13"/>
        <v/>
      </c>
      <c r="X35" s="246">
        <f>IF(AND(A35&gt;TimeofMaxCD,I35&gt;Traps),IF(AugerModel="Sinton",CalcImpliedV(SampleDoping,O35),CalcImpliedVRichter(O35,SampleDoping,V35)),"")</f>
        <v>0.61871743267472468</v>
      </c>
      <c r="Y35" s="253">
        <f t="shared" si="6"/>
        <v>17.773925630183978</v>
      </c>
      <c r="Z35" s="200" t="str">
        <f t="shared" si="7"/>
        <v/>
      </c>
      <c r="AA35" s="254">
        <v>155.36827400000001</v>
      </c>
      <c r="AB35" s="254">
        <v>51.739909542657948</v>
      </c>
      <c r="AC35" s="251">
        <f t="shared" si="14"/>
        <v>1.9327440052355156E-2</v>
      </c>
      <c r="AE35" s="251">
        <f t="shared" si="8"/>
        <v>1655.9643445251845</v>
      </c>
    </row>
    <row r="36" spans="1:31" x14ac:dyDescent="0.2">
      <c r="A36" s="244">
        <v>2.7499999999999998E-3</v>
      </c>
      <c r="B36" s="244">
        <v>0.102365</v>
      </c>
      <c r="C36" s="245">
        <v>0.160057</v>
      </c>
      <c r="D36" s="246">
        <f>IF(CouplingMode="AC",B36-(A$11-A$10)*SUM(B$9:B36)/0.21,B36)</f>
        <v>0.102365</v>
      </c>
      <c r="E36" s="247">
        <f t="shared" si="9"/>
        <v>16.866432268214631</v>
      </c>
      <c r="F36" s="247">
        <f t="shared" si="0"/>
        <v>16.866432268214631</v>
      </c>
      <c r="G36" s="248">
        <f t="shared" si="1"/>
        <v>4.4408621290467738E+18</v>
      </c>
      <c r="H36" s="249">
        <f t="shared" si="10"/>
        <v>3.0175733449796273E-3</v>
      </c>
      <c r="I36" s="248">
        <f>IF(MobilityModel=DK,CalcDeltaN(H36,SampleDoping,Thickness,AreaFrac),CalcDeltaNDL(H36,AreaFrac,Thickness,SampleType,SampleDoping,Temperature))</f>
        <v>324925326092641.62</v>
      </c>
      <c r="J36" s="248" t="str">
        <f t="shared" si="2"/>
        <v/>
      </c>
      <c r="K36" s="248">
        <f t="shared" si="11"/>
        <v>324925326092641.62</v>
      </c>
      <c r="L36" s="250">
        <f t="shared" si="15"/>
        <v>-1.9195742050196115E+17</v>
      </c>
      <c r="M36" s="196" t="str">
        <f t="shared" si="3"/>
        <v/>
      </c>
      <c r="N36" s="196" t="str">
        <f t="shared" si="4"/>
        <v/>
      </c>
      <c r="O36" s="250">
        <f t="shared" si="5"/>
        <v>324925326092641.62</v>
      </c>
      <c r="P36" s="248">
        <f t="shared" si="16"/>
        <v>2.5569826242435511E-6</v>
      </c>
      <c r="Q36" s="250" t="str">
        <f t="shared" si="17"/>
        <v/>
      </c>
      <c r="R36" s="251" t="str">
        <f t="shared" si="18"/>
        <v/>
      </c>
      <c r="S36" s="252">
        <f>IF(AND(E36&gt;0.95*BiasLight,E36&lt;1.05*BiasLight),"",IF(AugerModel="Sinton",calclifetimeauger(Auger_Coefficient,I36,P36),calclifetimerichter(SampleType,I36,SampleDoping,P36)))</f>
        <v>391085.78305920085</v>
      </c>
      <c r="T36" s="201" t="str">
        <f t="shared" si="19"/>
        <v/>
      </c>
      <c r="U36" s="252">
        <f t="shared" si="12"/>
        <v>366780.21438284026</v>
      </c>
      <c r="V36" s="251" t="str">
        <f>IF(AugerModel="Sinton","",IF(SampleType="n-type",n_intr_boltzmann(SampleDoping,0,K36,Temperature+273.15),n_intr_boltzmann(0,SampleDoping,K36,Temperature+273.15)))</f>
        <v/>
      </c>
      <c r="W36" s="251" t="str">
        <f t="shared" si="13"/>
        <v/>
      </c>
      <c r="X36" s="246">
        <f>IF(AND(A36&gt;TimeofMaxCD,I36&gt;Traps),IF(AugerModel="Sinton",CalcImpliedV(SampleDoping,O36),CalcImpliedVRichter(O36,SampleDoping,V36)),"")</f>
        <v>0.61709389976476658</v>
      </c>
      <c r="Y36" s="253">
        <f t="shared" si="6"/>
        <v>16.891949225463431</v>
      </c>
      <c r="Z36" s="200" t="str">
        <f t="shared" si="7"/>
        <v/>
      </c>
      <c r="AA36" s="254">
        <v>160.099492</v>
      </c>
      <c r="AB36" s="254">
        <v>50.89880072379399</v>
      </c>
      <c r="AC36" s="251">
        <f t="shared" si="14"/>
        <v>1.9646828329543009E-2</v>
      </c>
      <c r="AE36" s="251">
        <f t="shared" si="8"/>
        <v>1656.317975981837</v>
      </c>
    </row>
    <row r="37" spans="1:31" x14ac:dyDescent="0.2">
      <c r="A37" s="244">
        <v>2.8500000000000001E-3</v>
      </c>
      <c r="B37" s="244">
        <v>9.6568000000000001E-2</v>
      </c>
      <c r="C37" s="245">
        <v>0.15210799999999999</v>
      </c>
      <c r="D37" s="246">
        <f>IF(CouplingMode="AC",B37-(A$11-A$10)*SUM(B$9:B37)/0.21,B37)</f>
        <v>9.6568000000000001E-2</v>
      </c>
      <c r="E37" s="247">
        <f t="shared" si="9"/>
        <v>16.028785241842535</v>
      </c>
      <c r="F37" s="247">
        <f t="shared" si="0"/>
        <v>16.028785241842535</v>
      </c>
      <c r="G37" s="248">
        <f t="shared" si="1"/>
        <v>4.2203131179832586E+18</v>
      </c>
      <c r="H37" s="249">
        <f t="shared" si="10"/>
        <v>2.8465762773338781E-3</v>
      </c>
      <c r="I37" s="248">
        <f>IF(MobilityModel=DK,CalcDeltaN(H37,SampleDoping,Thickness,AreaFrac),CalcDeltaNDL(H37,AreaFrac,Thickness,SampleType,SampleDoping,Temperature))</f>
        <v>306452484310061.25</v>
      </c>
      <c r="J37" s="248" t="str">
        <f t="shared" si="2"/>
        <v/>
      </c>
      <c r="K37" s="248">
        <f t="shared" si="11"/>
        <v>306452484310061.25</v>
      </c>
      <c r="L37" s="250">
        <f t="shared" si="15"/>
        <v>-1.824783532049889E+17</v>
      </c>
      <c r="M37" s="196" t="str">
        <f t="shared" si="3"/>
        <v/>
      </c>
      <c r="N37" s="196" t="str">
        <f t="shared" si="4"/>
        <v/>
      </c>
      <c r="O37" s="250">
        <f t="shared" si="5"/>
        <v>306452484310061.25</v>
      </c>
      <c r="P37" s="248">
        <f t="shared" si="16"/>
        <v>2.5376386555102025E-6</v>
      </c>
      <c r="Q37" s="250" t="str">
        <f t="shared" si="17"/>
        <v/>
      </c>
      <c r="R37" s="251" t="str">
        <f t="shared" si="18"/>
        <v/>
      </c>
      <c r="S37" s="252">
        <f>IF(AND(E37&gt;0.95*BiasLight,E37&lt;1.05*BiasLight),"",IF(AugerModel="Sinton",calclifetimeauger(Auger_Coefficient,I37,P37),calclifetimerichter(SampleType,I37,SampleDoping,P37)))</f>
        <v>394066.98121556191</v>
      </c>
      <c r="T37" s="201" t="str">
        <f t="shared" si="19"/>
        <v/>
      </c>
      <c r="U37" s="252">
        <f t="shared" si="12"/>
        <v>367528.04913656763</v>
      </c>
      <c r="V37" s="251" t="str">
        <f>IF(AugerModel="Sinton","",IF(SampleType="n-type",n_intr_boltzmann(SampleDoping,0,K37,Temperature+273.15),n_intr_boltzmann(0,SampleDoping,K37,Temperature+273.15)))</f>
        <v/>
      </c>
      <c r="W37" s="251" t="str">
        <f t="shared" si="13"/>
        <v/>
      </c>
      <c r="X37" s="246">
        <f>IF(AND(A37&gt;TimeofMaxCD,I37&gt;Traps),IF(AugerModel="Sinton",CalcImpliedV(SampleDoping,O37),CalcImpliedVRichter(O37,SampleDoping,V37)),"")</f>
        <v>0.61551303249605172</v>
      </c>
      <c r="Y37" s="253">
        <f t="shared" si="6"/>
        <v>16.05304214384396</v>
      </c>
      <c r="Z37" s="200" t="str">
        <f t="shared" si="7"/>
        <v/>
      </c>
      <c r="AA37" s="254">
        <v>165.14088899999999</v>
      </c>
      <c r="AB37" s="254">
        <v>50.091808142627443</v>
      </c>
      <c r="AC37" s="251">
        <f t="shared" si="14"/>
        <v>1.9963344049244127E-2</v>
      </c>
      <c r="AE37" s="251">
        <f t="shared" si="8"/>
        <v>1656.6437380581253</v>
      </c>
    </row>
    <row r="38" spans="1:31" x14ac:dyDescent="0.2">
      <c r="A38" s="244">
        <v>2.9499999999999999E-3</v>
      </c>
      <c r="B38" s="244">
        <v>9.1153999999999999E-2</v>
      </c>
      <c r="C38" s="245">
        <v>0.14463300000000001</v>
      </c>
      <c r="D38" s="246">
        <f>IF(CouplingMode="AC",B38-(A$11-A$10)*SUM(B$9:B38)/0.21,B38)</f>
        <v>9.1153999999999999E-2</v>
      </c>
      <c r="E38" s="247">
        <f t="shared" si="9"/>
        <v>15.241087226729769</v>
      </c>
      <c r="F38" s="247">
        <f t="shared" si="0"/>
        <v>15.241087226729769</v>
      </c>
      <c r="G38" s="248">
        <f t="shared" si="1"/>
        <v>4.0129154758018826E+18</v>
      </c>
      <c r="H38" s="249">
        <f t="shared" si="10"/>
        <v>2.6868886637526762E-3</v>
      </c>
      <c r="I38" s="248">
        <f>IF(MobilityModel=DK,CalcDeltaN(H38,SampleDoping,Thickness,AreaFrac),CalcDeltaNDL(H38,AreaFrac,Thickness,SampleType,SampleDoping,Temperature))</f>
        <v>289207935739265.19</v>
      </c>
      <c r="J38" s="248" t="str">
        <f t="shared" si="2"/>
        <v/>
      </c>
      <c r="K38" s="248">
        <f t="shared" si="11"/>
        <v>289207935739265.19</v>
      </c>
      <c r="L38" s="250">
        <f t="shared" si="15"/>
        <v>-1.7156260304123414E+17</v>
      </c>
      <c r="M38" s="196" t="str">
        <f t="shared" si="3"/>
        <v/>
      </c>
      <c r="N38" s="196" t="str">
        <f t="shared" si="4"/>
        <v/>
      </c>
      <c r="O38" s="250">
        <f t="shared" si="5"/>
        <v>289207935739265.19</v>
      </c>
      <c r="P38" s="248">
        <f t="shared" si="16"/>
        <v>2.5186560893199197E-6</v>
      </c>
      <c r="Q38" s="250" t="str">
        <f t="shared" si="17"/>
        <v/>
      </c>
      <c r="R38" s="251" t="str">
        <f t="shared" si="18"/>
        <v/>
      </c>
      <c r="S38" s="252">
        <f>IF(AND(E38&gt;0.95*BiasLight,E38&lt;1.05*BiasLight),"",IF(AugerModel="Sinton",calclifetimeauger(Auger_Coefficient,I38,P38),calclifetimerichter(SampleType,I38,SampleDoping,P38)))</f>
        <v>397036.99704734911</v>
      </c>
      <c r="T38" s="201" t="str">
        <f t="shared" si="19"/>
        <v/>
      </c>
      <c r="U38" s="252">
        <f t="shared" si="12"/>
        <v>368226.15898265212</v>
      </c>
      <c r="V38" s="251" t="str">
        <f>IF(AugerModel="Sinton","",IF(SampleType="n-type",n_intr_boltzmann(SampleDoping,0,K38,Temperature+273.15),n_intr_boltzmann(0,SampleDoping,K38,Temperature+273.15)))</f>
        <v/>
      </c>
      <c r="W38" s="251" t="str">
        <f t="shared" si="13"/>
        <v/>
      </c>
      <c r="X38" s="246">
        <f>IF(AND(A38&gt;TimeofMaxCD,I38&gt;Traps),IF(AugerModel="Sinton",CalcImpliedV(SampleDoping,O38),CalcImpliedVRichter(O38,SampleDoping,V38)),"")</f>
        <v>0.61395290830063631</v>
      </c>
      <c r="Y38" s="253">
        <f t="shared" si="6"/>
        <v>15.263893094801178</v>
      </c>
      <c r="Z38" s="200" t="str">
        <f t="shared" si="7"/>
        <v/>
      </c>
      <c r="AA38" s="254">
        <v>170.08024900000001</v>
      </c>
      <c r="AB38" s="254">
        <v>49.369543863079798</v>
      </c>
      <c r="AC38" s="251">
        <f t="shared" si="14"/>
        <v>2.0255402860787489E-2</v>
      </c>
      <c r="AE38" s="251">
        <f t="shared" si="8"/>
        <v>1656.9481148360248</v>
      </c>
    </row>
    <row r="39" spans="1:31" x14ac:dyDescent="0.2">
      <c r="A39" s="244">
        <v>3.0500000000000002E-3</v>
      </c>
      <c r="B39" s="244">
        <v>8.5628999999999997E-2</v>
      </c>
      <c r="C39" s="245">
        <v>0.13755500000000001</v>
      </c>
      <c r="D39" s="246">
        <f>IF(CouplingMode="AC",B39-(A$11-A$10)*SUM(B$9:B39)/0.21,B39)</f>
        <v>8.5628999999999997E-2</v>
      </c>
      <c r="E39" s="247">
        <f t="shared" si="9"/>
        <v>14.495224142988206</v>
      </c>
      <c r="F39" s="247">
        <f t="shared" si="0"/>
        <v>14.495224142988206</v>
      </c>
      <c r="G39" s="248">
        <f t="shared" si="1"/>
        <v>3.816532798696895E+18</v>
      </c>
      <c r="H39" s="249">
        <f t="shared" si="10"/>
        <v>2.5239389275552512E-3</v>
      </c>
      <c r="I39" s="248">
        <f>IF(MobilityModel=DK,CalcDeltaN(H39,SampleDoping,Thickness,AreaFrac),CalcDeltaNDL(H39,AreaFrac,Thickness,SampleType,SampleDoping,Temperature))</f>
        <v>271617616545011.16</v>
      </c>
      <c r="J39" s="248" t="str">
        <f t="shared" si="2"/>
        <v/>
      </c>
      <c r="K39" s="248">
        <f t="shared" si="11"/>
        <v>271617616545011.16</v>
      </c>
      <c r="L39" s="250">
        <f t="shared" si="15"/>
        <v>-1.6160056816994218E+17</v>
      </c>
      <c r="M39" s="196" t="str">
        <f t="shared" si="3"/>
        <v/>
      </c>
      <c r="N39" s="196" t="str">
        <f t="shared" si="4"/>
        <v/>
      </c>
      <c r="O39" s="250">
        <f t="shared" si="5"/>
        <v>271617616545011.16</v>
      </c>
      <c r="P39" s="248">
        <f t="shared" si="16"/>
        <v>2.4872179346179369E-6</v>
      </c>
      <c r="Q39" s="250" t="str">
        <f t="shared" si="17"/>
        <v/>
      </c>
      <c r="R39" s="251" t="str">
        <f t="shared" si="18"/>
        <v/>
      </c>
      <c r="S39" s="252">
        <f>IF(AND(E39&gt;0.95*BiasLight,E39&lt;1.05*BiasLight),"",IF(AugerModel="Sinton",calclifetimeauger(Auger_Coefficient,I39,P39),calclifetimerichter(SampleType,I39,SampleDoping,P39)))</f>
        <v>402055.51812574535</v>
      </c>
      <c r="T39" s="201" t="str">
        <f t="shared" si="19"/>
        <v/>
      </c>
      <c r="U39" s="252">
        <f t="shared" si="12"/>
        <v>368938.26663655002</v>
      </c>
      <c r="V39" s="251" t="str">
        <f>IF(AugerModel="Sinton","",IF(SampleType="n-type",n_intr_boltzmann(SampleDoping,0,K39,Temperature+273.15),n_intr_boltzmann(0,SampleDoping,K39,Temperature+273.15)))</f>
        <v/>
      </c>
      <c r="W39" s="251" t="str">
        <f t="shared" si="13"/>
        <v/>
      </c>
      <c r="X39" s="246">
        <f>IF(AND(A39&gt;TimeofMaxCD,I39&gt;Traps),IF(AugerModel="Sinton",CalcImpliedV(SampleDoping,O39),CalcImpliedVRichter(O39,SampleDoping,V39)),"")</f>
        <v>0.61226694309671303</v>
      </c>
      <c r="Y39" s="253">
        <f t="shared" si="6"/>
        <v>14.516705754788321</v>
      </c>
      <c r="Z39" s="200" t="str">
        <f t="shared" si="7"/>
        <v/>
      </c>
      <c r="AA39" s="254">
        <v>175.165952</v>
      </c>
      <c r="AB39" s="254">
        <v>48.847674599954786</v>
      </c>
      <c r="AC39" s="251">
        <f t="shared" si="14"/>
        <v>2.0471803585117347E-2</v>
      </c>
      <c r="AE39" s="251">
        <f t="shared" si="8"/>
        <v>1657.2588691644557</v>
      </c>
    </row>
    <row r="40" spans="1:31" x14ac:dyDescent="0.2">
      <c r="A40" s="244">
        <v>3.15E-3</v>
      </c>
      <c r="B40" s="244">
        <v>8.0897999999999998E-2</v>
      </c>
      <c r="C40" s="245">
        <v>0.13086500000000001</v>
      </c>
      <c r="D40" s="246">
        <f>IF(CouplingMode="AC",B40-(A$11-A$10)*SUM(B$9:B40)/0.21,B40)</f>
        <v>8.0897999999999998E-2</v>
      </c>
      <c r="E40" s="247">
        <f t="shared" si="9"/>
        <v>13.790247591669889</v>
      </c>
      <c r="F40" s="247">
        <f t="shared" si="0"/>
        <v>13.790247591669889</v>
      </c>
      <c r="G40" s="248">
        <f t="shared" si="1"/>
        <v>3.6309153771325599E+18</v>
      </c>
      <c r="H40" s="249">
        <f t="shared" si="10"/>
        <v>2.3844162833267894E-3</v>
      </c>
      <c r="I40" s="248">
        <f>IF(MobilityModel=DK,CalcDeltaN(H40,SampleDoping,Thickness,AreaFrac),CalcDeltaNDL(H40,AreaFrac,Thickness,SampleType,SampleDoping,Temperature))</f>
        <v>256561458454549.56</v>
      </c>
      <c r="J40" s="248" t="str">
        <f t="shared" si="2"/>
        <v/>
      </c>
      <c r="K40" s="248">
        <f t="shared" si="11"/>
        <v>256561458454549.56</v>
      </c>
      <c r="L40" s="250">
        <f t="shared" si="15"/>
        <v>-1.5171042200822413E+17</v>
      </c>
      <c r="M40" s="196" t="str">
        <f t="shared" si="3"/>
        <v/>
      </c>
      <c r="N40" s="196" t="str">
        <f t="shared" si="4"/>
        <v/>
      </c>
      <c r="O40" s="250">
        <f t="shared" si="5"/>
        <v>256561458454549.56</v>
      </c>
      <c r="P40" s="248">
        <f t="shared" si="16"/>
        <v>2.4694980229580494E-6</v>
      </c>
      <c r="Q40" s="250" t="str">
        <f t="shared" si="17"/>
        <v/>
      </c>
      <c r="R40" s="251" t="str">
        <f t="shared" si="18"/>
        <v/>
      </c>
      <c r="S40" s="252">
        <f>IF(AND(E40&gt;0.95*BiasLight,E40&lt;1.05*BiasLight),"",IF(AugerModel="Sinton",calclifetimeauger(Auger_Coefficient,I40,P40),calclifetimerichter(SampleType,I40,SampleDoping,P40)))</f>
        <v>404940.48623142653</v>
      </c>
      <c r="T40" s="201" t="str">
        <f t="shared" si="19"/>
        <v/>
      </c>
      <c r="U40" s="252">
        <f t="shared" si="12"/>
        <v>369547.78402484261</v>
      </c>
      <c r="V40" s="251" t="str">
        <f>IF(AugerModel="Sinton","",IF(SampleType="n-type",n_intr_boltzmann(SampleDoping,0,K40,Temperature+273.15),n_intr_boltzmann(0,SampleDoping,K40,Temperature+273.15)))</f>
        <v/>
      </c>
      <c r="W40" s="251" t="str">
        <f t="shared" si="13"/>
        <v/>
      </c>
      <c r="X40" s="246">
        <f>IF(AND(A40&gt;TimeofMaxCD,I40&gt;Traps),IF(AugerModel="Sinton",CalcImpliedV(SampleDoping,O40),CalcImpliedVRichter(O40,SampleDoping,V40)),"")</f>
        <v>0.61073849590594054</v>
      </c>
      <c r="Y40" s="253">
        <f t="shared" si="6"/>
        <v>13.810414503386347</v>
      </c>
      <c r="Z40" s="200" t="str">
        <f t="shared" si="7"/>
        <v/>
      </c>
      <c r="AA40" s="254">
        <v>180.23291699999999</v>
      </c>
      <c r="AB40" s="254">
        <v>48.277007953626978</v>
      </c>
      <c r="AC40" s="251">
        <f t="shared" si="14"/>
        <v>2.0713794047894626E-2</v>
      </c>
      <c r="AE40" s="251">
        <f t="shared" si="8"/>
        <v>1657.5250751647468</v>
      </c>
    </row>
    <row r="41" spans="1:31" x14ac:dyDescent="0.2">
      <c r="A41" s="244">
        <v>3.2499999999999999E-3</v>
      </c>
      <c r="B41" s="244">
        <v>7.6313000000000006E-2</v>
      </c>
      <c r="C41" s="245">
        <v>0.124558</v>
      </c>
      <c r="D41" s="246">
        <f>IF(CouplingMode="AC",B41-(A$11-A$10)*SUM(B$9:B41)/0.21,B41)</f>
        <v>7.6313000000000006E-2</v>
      </c>
      <c r="E41" s="247">
        <f t="shared" ref="E41:E72" si="20">IF(C41&gt;0,C41/RefCellCal,0.00001)</f>
        <v>13.125630684470392</v>
      </c>
      <c r="F41" s="247">
        <f t="shared" ref="F41:F72" si="21">E41-BiasLight</f>
        <v>13.125630684470392</v>
      </c>
      <c r="G41" s="248">
        <f t="shared" ref="G41:G72" si="22">F41*0.038*OptConst/1.602E-19</f>
        <v>3.4559244835890207E+18</v>
      </c>
      <c r="H41" s="249">
        <f t="shared" ref="H41:H72" si="23">CalcConductance(B41,Dark_Voltage,A_cal,B_cal,C_cal)</f>
        <v>2.2492077271491391E-3</v>
      </c>
      <c r="I41" s="248">
        <f>IF(MobilityModel=DK,CalcDeltaN(H41,SampleDoping,Thickness,AreaFrac),CalcDeltaNDL(H41,AreaFrac,Thickness,SampleType,SampleDoping,Temperature))</f>
        <v>241975438867448</v>
      </c>
      <c r="J41" s="248" t="str">
        <f t="shared" ref="J41:J72" si="24">IF(AND(AND(I41&gt;=FitRangeMin,I41&lt;=FitRangeMax),A41&gt;TimeofMaxCD),I41,"")</f>
        <v/>
      </c>
      <c r="K41" s="248">
        <f t="shared" ref="K41:K72" si="25">IF(I41-BiasPtCD=0,0.00001,I41-BiasPtCD)</f>
        <v>241975438867448</v>
      </c>
      <c r="L41" s="250">
        <f t="shared" si="15"/>
        <v>-1.3967124116556229E+17</v>
      </c>
      <c r="M41" s="196" t="str">
        <f t="shared" ref="M41:M72" si="26">IF(E41&gt;0.85*BiasLight,IF( E41&lt;1.15*BiasLight,E41,""),"")</f>
        <v/>
      </c>
      <c r="N41" s="196" t="str">
        <f t="shared" ref="N41:N72" si="27">IF(E41&gt;0.85*BiasLight,IF(E41&lt;1.15*BiasLight,I41,""),"")</f>
        <v/>
      </c>
      <c r="O41" s="250">
        <f t="shared" ref="O41:O72" si="28">I41-Traps</f>
        <v>241975438867448</v>
      </c>
      <c r="P41" s="248">
        <f t="shared" si="16"/>
        <v>2.447153433766068E-6</v>
      </c>
      <c r="Q41" s="250" t="str">
        <f t="shared" si="17"/>
        <v/>
      </c>
      <c r="R41" s="251" t="str">
        <f t="shared" si="18"/>
        <v/>
      </c>
      <c r="S41" s="252">
        <f>IF(AND(E41&gt;0.95*BiasLight,E41&lt;1.05*BiasLight),"",IF(AugerModel="Sinton",calclifetimeauger(Auger_Coefficient,I41,P41),calclifetimerichter(SampleType,I41,SampleDoping,P41)))</f>
        <v>408637.94985109469</v>
      </c>
      <c r="T41" s="201" t="str">
        <f t="shared" si="19"/>
        <v/>
      </c>
      <c r="U41" s="252">
        <f t="shared" ref="U41:U72" si="29">FitInterceptAuger+FitSlopeAuger*(I41+Traps)</f>
        <v>370138.26882919302</v>
      </c>
      <c r="V41" s="251" t="str">
        <f>IF(AugerModel="Sinton","",IF(SampleType="n-type",n_intr_boltzmann(SampleDoping,0,K41,Temperature+273.15),n_intr_boltzmann(0,SampleDoping,K41,Temperature+273.15)))</f>
        <v/>
      </c>
      <c r="W41" s="251" t="str">
        <f t="shared" si="13"/>
        <v/>
      </c>
      <c r="X41" s="246">
        <f>IF(AND(A41&gt;TimeofMaxCD,I41&gt;Traps),IF(AugerModel="Sinton",CalcImpliedV(SampleDoping,O41),CalcImpliedVRichter(O41,SampleDoping,V41)),"")</f>
        <v>0.60917321612449848</v>
      </c>
      <c r="Y41" s="253">
        <f t="shared" ref="Y41:Y72" si="30">IF(OR(P41="",P41&lt;0,A41&lt;=TimeofMaxCD),"",(O41*Thickness*1.602E-19/(0.038*OptConst*P41)))</f>
        <v>13.144197224281088</v>
      </c>
      <c r="Z41" s="200" t="str">
        <f t="shared" ref="Z41:Z72" si="31">IF(C41&gt;0.6,O41,"")</f>
        <v/>
      </c>
      <c r="AA41" s="254">
        <v>185.09920700000001</v>
      </c>
      <c r="AB41" s="254">
        <v>47.885387985242289</v>
      </c>
      <c r="AC41" s="251">
        <f t="shared" si="14"/>
        <v>2.0883197193853544E-2</v>
      </c>
      <c r="AE41" s="251">
        <f t="shared" ref="AE41:AE72" si="32">H41/(K41*AreaFrac*Thickness*1.602E-19)</f>
        <v>1657.7831632741031</v>
      </c>
    </row>
    <row r="42" spans="1:31" x14ac:dyDescent="0.2">
      <c r="A42" s="244">
        <v>3.3500000000000001E-3</v>
      </c>
      <c r="B42" s="244">
        <v>7.1972999999999995E-2</v>
      </c>
      <c r="C42" s="245">
        <v>0.11852500000000001</v>
      </c>
      <c r="D42" s="246">
        <f>IF(CouplingMode="AC",B42-(A$11-A$10)*SUM(B$9:B42)/0.21,B42)</f>
        <v>7.1972999999999995E-2</v>
      </c>
      <c r="E42" s="247">
        <f t="shared" si="20"/>
        <v>12.489887256353292</v>
      </c>
      <c r="F42" s="247">
        <f t="shared" si="21"/>
        <v>12.489887256353292</v>
      </c>
      <c r="G42" s="248">
        <f t="shared" si="22"/>
        <v>3.2885358581334702E+18</v>
      </c>
      <c r="H42" s="249">
        <f t="shared" si="23"/>
        <v>2.1212316547018634E-3</v>
      </c>
      <c r="I42" s="248">
        <f>IF(MobilityModel=DK,CalcDeltaN(H42,SampleDoping,Thickness,AreaFrac),CalcDeltaNDL(H42,AreaFrac,Thickness,SampleType,SampleDoping,Temperature))</f>
        <v>228173813573934.72</v>
      </c>
      <c r="J42" s="248" t="str">
        <f t="shared" si="24"/>
        <v/>
      </c>
      <c r="K42" s="248">
        <f t="shared" si="25"/>
        <v>228173813573934.72</v>
      </c>
      <c r="L42" s="250">
        <f t="shared" si="15"/>
        <v>-1.2785418113999858E+17</v>
      </c>
      <c r="M42" s="196" t="str">
        <f t="shared" si="26"/>
        <v/>
      </c>
      <c r="N42" s="196" t="str">
        <f t="shared" si="27"/>
        <v/>
      </c>
      <c r="O42" s="250">
        <f t="shared" si="28"/>
        <v>228173813573934.72</v>
      </c>
      <c r="P42" s="248">
        <f t="shared" si="16"/>
        <v>2.4251616743853841E-6</v>
      </c>
      <c r="Q42" s="250" t="str">
        <f t="shared" si="17"/>
        <v/>
      </c>
      <c r="R42" s="251" t="str">
        <f t="shared" si="18"/>
        <v/>
      </c>
      <c r="S42" s="252">
        <f>IF(AND(E42&gt;0.95*BiasLight,E42&lt;1.05*BiasLight),"",IF(AugerModel="Sinton",calclifetimeauger(Auger_Coefficient,I42,P42),calclifetimerichter(SampleType,I42,SampleDoping,P42)))</f>
        <v>412343.55670686968</v>
      </c>
      <c r="T42" s="201" t="str">
        <f t="shared" si="19"/>
        <v/>
      </c>
      <c r="U42" s="252">
        <f t="shared" si="29"/>
        <v>370696.99905456335</v>
      </c>
      <c r="V42" s="251" t="str">
        <f>IF(AugerModel="Sinton","",IF(SampleType="n-type",n_intr_boltzmann(SampleDoping,0,K42,Temperature+273.15),n_intr_boltzmann(0,SampleDoping,K42,Temperature+273.15)))</f>
        <v/>
      </c>
      <c r="W42" s="251" t="str">
        <f t="shared" si="13"/>
        <v/>
      </c>
      <c r="X42" s="246">
        <f>IF(AND(A42&gt;TimeofMaxCD,I42&gt;Traps),IF(AugerModel="Sinton",CalcImpliedV(SampleDoping,O42),CalcImpliedVRichter(O42,SampleDoping,V42)),"")</f>
        <v>0.60760606324180599</v>
      </c>
      <c r="Y42" s="253">
        <f t="shared" si="30"/>
        <v>12.506882950844805</v>
      </c>
      <c r="Z42" s="200" t="str">
        <f t="shared" si="31"/>
        <v/>
      </c>
      <c r="AA42" s="254">
        <v>190.13610399999999</v>
      </c>
      <c r="AB42" s="254">
        <v>47.538137974235774</v>
      </c>
      <c r="AC42" s="251">
        <f t="shared" si="14"/>
        <v>2.1035741882485377E-2</v>
      </c>
      <c r="AE42" s="251">
        <f t="shared" si="32"/>
        <v>1658.0275488204957</v>
      </c>
    </row>
    <row r="43" spans="1:31" x14ac:dyDescent="0.2">
      <c r="A43" s="244">
        <v>3.4499999999999999E-3</v>
      </c>
      <c r="B43" s="244">
        <v>6.8136000000000002E-2</v>
      </c>
      <c r="C43" s="245">
        <v>0.11286499999999999</v>
      </c>
      <c r="D43" s="246">
        <f>IF(CouplingMode="AC",B43-(A$11-A$10)*SUM(B$9:B43)/0.21,B43)</f>
        <v>6.8136000000000002E-2</v>
      </c>
      <c r="E43" s="247">
        <f t="shared" si="20"/>
        <v>11.893449695746165</v>
      </c>
      <c r="F43" s="247">
        <f t="shared" si="21"/>
        <v>11.893449695746165</v>
      </c>
      <c r="G43" s="248">
        <f t="shared" si="22"/>
        <v>3.1314963056590095E+18</v>
      </c>
      <c r="H43" s="249">
        <f t="shared" si="23"/>
        <v>2.0080939873955948E-3</v>
      </c>
      <c r="I43" s="248">
        <f>IF(MobilityModel=DK,CalcDeltaN(H43,SampleDoping,Thickness,AreaFrac),CalcDeltaNDL(H43,AreaFrac,Thickness,SampleType,SampleDoping,Temperature))</f>
        <v>215975818402537.47</v>
      </c>
      <c r="J43" s="248" t="str">
        <f t="shared" si="24"/>
        <v/>
      </c>
      <c r="K43" s="248">
        <f t="shared" si="25"/>
        <v>215975818402537.47</v>
      </c>
      <c r="L43" s="250">
        <f t="shared" ref="L43:L74" si="33">IF(ABS(SLOPE(K41:K45,A41:A45))&lt;1000000000000,-1000000000000,(SLOPE(K41:K45,A41:A45)))</f>
        <v>-1.1935634582602066E+17</v>
      </c>
      <c r="M43" s="196" t="str">
        <f t="shared" si="26"/>
        <v/>
      </c>
      <c r="N43" s="196" t="str">
        <f t="shared" si="27"/>
        <v/>
      </c>
      <c r="O43" s="250">
        <f t="shared" si="28"/>
        <v>215975818402537.47</v>
      </c>
      <c r="P43" s="248">
        <f t="shared" ref="P43:P74" si="34">calclifetime(AnalysisMode,K43,Thickness,G43,L43)</f>
        <v>2.4106951742542968E-6</v>
      </c>
      <c r="Q43" s="250" t="str">
        <f t="shared" si="17"/>
        <v/>
      </c>
      <c r="R43" s="251" t="str">
        <f t="shared" si="18"/>
        <v/>
      </c>
      <c r="S43" s="252">
        <f>IF(AND(E43&gt;0.95*BiasLight,E43&lt;1.05*BiasLight),"",IF(AugerModel="Sinton",calclifetimeauger(Auger_Coefficient,I43,P43),calclifetimerichter(SampleType,I43,SampleDoping,P43)))</f>
        <v>414818.02594361553</v>
      </c>
      <c r="T43" s="201" t="str">
        <f t="shared" si="19"/>
        <v/>
      </c>
      <c r="U43" s="252">
        <f t="shared" si="29"/>
        <v>371190.80963456689</v>
      </c>
      <c r="V43" s="251" t="str">
        <f>IF(AugerModel="Sinton","",IF(SampleType="n-type",n_intr_boltzmann(SampleDoping,0,K43,Temperature+273.15),n_intr_boltzmann(0,SampleDoping,K43,Temperature+273.15)))</f>
        <v/>
      </c>
      <c r="W43" s="251" t="str">
        <f t="shared" si="13"/>
        <v/>
      </c>
      <c r="X43" s="246">
        <f>IF(AND(A43&gt;TimeofMaxCD,I43&gt;Traps),IF(AugerModel="Sinton",CalcImpliedV(SampleDoping,O43),CalcImpliedVRichter(O43,SampleDoping,V43)),"")</f>
        <v>0.60614288330609445</v>
      </c>
      <c r="Y43" s="253">
        <f t="shared" si="30"/>
        <v>11.909315770450922</v>
      </c>
      <c r="Z43" s="200" t="str">
        <f t="shared" si="31"/>
        <v/>
      </c>
      <c r="AA43" s="254">
        <v>195.14987500000001</v>
      </c>
      <c r="AB43" s="254">
        <v>47.115382734405344</v>
      </c>
      <c r="AC43" s="251">
        <f t="shared" si="14"/>
        <v>2.1224490643259999E-2</v>
      </c>
      <c r="AE43" s="251">
        <f t="shared" si="32"/>
        <v>1658.2436821559661</v>
      </c>
    </row>
    <row r="44" spans="1:31" x14ac:dyDescent="0.2">
      <c r="A44" s="244">
        <v>3.5500000000000002E-3</v>
      </c>
      <c r="B44" s="244">
        <v>6.4881999999999995E-2</v>
      </c>
      <c r="C44" s="245">
        <v>0.10750999999999999</v>
      </c>
      <c r="D44" s="246">
        <f>IF(CouplingMode="AC",B44-(A$11-A$10)*SUM(B$9:B44)/0.21,B44)</f>
        <v>6.4881999999999995E-2</v>
      </c>
      <c r="E44" s="247">
        <f t="shared" si="20"/>
        <v>11.329152321708857</v>
      </c>
      <c r="F44" s="247">
        <f t="shared" si="21"/>
        <v>11.329152321708857</v>
      </c>
      <c r="G44" s="248">
        <f t="shared" si="22"/>
        <v>2.9829191318956283E+18</v>
      </c>
      <c r="H44" s="249">
        <f t="shared" si="23"/>
        <v>1.9121511674107111E-3</v>
      </c>
      <c r="I44" s="248">
        <f>IF(MobilityModel=DK,CalcDeltaN(H44,SampleDoping,Thickness,AreaFrac),CalcDeltaNDL(H44,AreaFrac,Thickness,SampleType,SampleDoping,Temperature))</f>
        <v>205634178117005.5</v>
      </c>
      <c r="J44" s="248" t="str">
        <f t="shared" si="24"/>
        <v/>
      </c>
      <c r="K44" s="248">
        <f t="shared" si="25"/>
        <v>205634178117005.5</v>
      </c>
      <c r="L44" s="250">
        <f t="shared" si="33"/>
        <v>-1.1252231776377446E+17</v>
      </c>
      <c r="M44" s="196" t="str">
        <f t="shared" si="26"/>
        <v/>
      </c>
      <c r="N44" s="196" t="str">
        <f t="shared" si="27"/>
        <v/>
      </c>
      <c r="O44" s="250">
        <f t="shared" si="28"/>
        <v>205634178117005.5</v>
      </c>
      <c r="P44" s="248">
        <f t="shared" si="34"/>
        <v>2.4096216319963183E-6</v>
      </c>
      <c r="Q44" s="250" t="str">
        <f t="shared" ref="Q44:Q75" si="35">IF($J44="","",P44)</f>
        <v/>
      </c>
      <c r="R44" s="251" t="str">
        <f t="shared" ref="R44:R75" si="36">IF(Q44="","",1/Q44)</f>
        <v/>
      </c>
      <c r="S44" s="252">
        <f>IF(AND(E44&gt;0.95*BiasLight,E44&lt;1.05*BiasLight),"",IF(AugerModel="Sinton",calclifetimeauger(Auger_Coefficient,I44,P44),calclifetimerichter(SampleType,I44,SampleDoping,P44)))</f>
        <v>415002.84425611218</v>
      </c>
      <c r="T44" s="201" t="str">
        <f t="shared" ref="T44:T75" si="37">IF($J44="","",S44)</f>
        <v/>
      </c>
      <c r="U44" s="252">
        <f t="shared" si="29"/>
        <v>371609.46953037998</v>
      </c>
      <c r="V44" s="251" t="str">
        <f>IF(AugerModel="Sinton","",IF(SampleType="n-type",n_intr_boltzmann(SampleDoping,0,K44,Temperature+273.15),n_intr_boltzmann(0,SampleDoping,K44,Temperature+273.15)))</f>
        <v/>
      </c>
      <c r="W44" s="251" t="str">
        <f t="shared" si="13"/>
        <v/>
      </c>
      <c r="X44" s="246">
        <f>IF(AND(A44&gt;TimeofMaxCD,I44&gt;Traps),IF(AugerModel="Sinton",CalcImpliedV(SampleDoping,O44),CalcImpliedVRichter(O44,SampleDoping,V44)),"")</f>
        <v>0.60483838674990953</v>
      </c>
      <c r="Y44" s="253">
        <f t="shared" si="30"/>
        <v>11.344109947021837</v>
      </c>
      <c r="Z44" s="200" t="str">
        <f t="shared" si="31"/>
        <v/>
      </c>
      <c r="AA44" s="200">
        <v>200.36169699999999</v>
      </c>
      <c r="AB44" s="200">
        <v>46.721930121524601</v>
      </c>
      <c r="AC44" s="251">
        <f t="shared" si="14"/>
        <v>2.1403225367594651E-2</v>
      </c>
      <c r="AE44" s="251">
        <f t="shared" si="32"/>
        <v>1658.4270286831772</v>
      </c>
    </row>
    <row r="45" spans="1:31" x14ac:dyDescent="0.2">
      <c r="A45" s="244">
        <v>3.65E-3</v>
      </c>
      <c r="B45" s="244">
        <v>6.1083999999999999E-2</v>
      </c>
      <c r="C45" s="245">
        <v>0.10236000000000001</v>
      </c>
      <c r="D45" s="246">
        <f>IF(CouplingMode="AC",B45-(A$11-A$10)*SUM(B$9:B45)/0.21,B45)</f>
        <v>6.1083999999999999E-2</v>
      </c>
      <c r="E45" s="247">
        <f t="shared" si="20"/>
        <v>10.786457368152904</v>
      </c>
      <c r="F45" s="247">
        <f t="shared" si="21"/>
        <v>10.786457368152904</v>
      </c>
      <c r="G45" s="248">
        <f t="shared" si="22"/>
        <v>2.8400297864462515E+18</v>
      </c>
      <c r="H45" s="249">
        <f t="shared" si="23"/>
        <v>1.8001739909290909E-3</v>
      </c>
      <c r="I45" s="248">
        <f>IF(MobilityModel=DK,CalcDeltaN(H45,SampleDoping,Thickness,AreaFrac),CalcDeltaNDL(H45,AreaFrac,Thickness,SampleType,SampleDoping,Temperature))</f>
        <v>193567083682902.25</v>
      </c>
      <c r="J45" s="248" t="str">
        <f t="shared" si="24"/>
        <v/>
      </c>
      <c r="K45" s="248">
        <f t="shared" si="25"/>
        <v>193567083682902.25</v>
      </c>
      <c r="L45" s="250">
        <f t="shared" si="33"/>
        <v>-1.102405517818925E+17</v>
      </c>
      <c r="M45" s="196" t="str">
        <f t="shared" si="26"/>
        <v/>
      </c>
      <c r="N45" s="196" t="str">
        <f t="shared" si="27"/>
        <v/>
      </c>
      <c r="O45" s="250">
        <f t="shared" si="28"/>
        <v>193567083682902.25</v>
      </c>
      <c r="P45" s="248">
        <f t="shared" si="34"/>
        <v>2.3822483300092886E-6</v>
      </c>
      <c r="Q45" s="250" t="str">
        <f t="shared" si="35"/>
        <v/>
      </c>
      <c r="R45" s="251" t="str">
        <f t="shared" si="36"/>
        <v/>
      </c>
      <c r="S45" s="252">
        <f>IF(AND(E45&gt;0.95*BiasLight,E45&lt;1.05*BiasLight),"",IF(AugerModel="Sinton",calclifetimeauger(Auger_Coefficient,I45,P45),calclifetimerichter(SampleType,I45,SampleDoping,P45)))</f>
        <v>419771.45675104059</v>
      </c>
      <c r="T45" s="201" t="str">
        <f t="shared" si="37"/>
        <v/>
      </c>
      <c r="U45" s="252">
        <f t="shared" si="29"/>
        <v>372097.98086504871</v>
      </c>
      <c r="V45" s="251" t="str">
        <f>IF(AugerModel="Sinton","",IF(SampleType="n-type",n_intr_boltzmann(SampleDoping,0,K45,Temperature+273.15),n_intr_boltzmann(0,SampleDoping,K45,Temperature+273.15)))</f>
        <v/>
      </c>
      <c r="W45" s="251" t="str">
        <f t="shared" si="13"/>
        <v/>
      </c>
      <c r="X45" s="246">
        <f>IF(AND(A45&gt;TimeofMaxCD,I45&gt;Traps),IF(AugerModel="Sinton",CalcImpliedV(SampleDoping,O45),CalcImpliedVRichter(O45,SampleDoping,V45)),"")</f>
        <v>0.60323341866334046</v>
      </c>
      <c r="Y45" s="253">
        <f t="shared" si="30"/>
        <v>10.801111677632303</v>
      </c>
      <c r="Z45" s="200" t="str">
        <f t="shared" si="31"/>
        <v/>
      </c>
      <c r="AE45" s="251">
        <f t="shared" si="32"/>
        <v>1658.641088302827</v>
      </c>
    </row>
    <row r="46" spans="1:31" x14ac:dyDescent="0.2">
      <c r="A46" s="244">
        <v>3.7499999999999999E-3</v>
      </c>
      <c r="B46" s="244">
        <v>5.7793999999999998E-2</v>
      </c>
      <c r="C46" s="245">
        <v>9.7571000000000005E-2</v>
      </c>
      <c r="D46" s="246">
        <f>IF(CouplingMode="AC",B46-(A$11-A$10)*SUM(B$9:B46)/0.21,B46)</f>
        <v>5.7793999999999998E-2</v>
      </c>
      <c r="E46" s="247">
        <f t="shared" si="20"/>
        <v>10.28180375017631</v>
      </c>
      <c r="F46" s="247">
        <f t="shared" si="21"/>
        <v>10.28180375017631</v>
      </c>
      <c r="G46" s="248">
        <f t="shared" si="22"/>
        <v>2.7071565679303168E+18</v>
      </c>
      <c r="H46" s="249">
        <f t="shared" si="23"/>
        <v>1.7031788526504256E-3</v>
      </c>
      <c r="I46" s="248">
        <f>IF(MobilityModel=DK,CalcDeltaN(H46,SampleDoping,Thickness,AreaFrac),CalcDeltaNDL(H46,AreaFrac,Thickness,SampleType,SampleDoping,Temperature))</f>
        <v>183117022051865.12</v>
      </c>
      <c r="J46" s="248" t="str">
        <f t="shared" si="24"/>
        <v/>
      </c>
      <c r="K46" s="248">
        <f t="shared" si="25"/>
        <v>183117022051865.12</v>
      </c>
      <c r="L46" s="250">
        <f t="shared" si="33"/>
        <v>-1.0583297599584378E+17</v>
      </c>
      <c r="M46" s="196" t="str">
        <f t="shared" si="26"/>
        <v/>
      </c>
      <c r="N46" s="196" t="str">
        <f t="shared" si="27"/>
        <v/>
      </c>
      <c r="O46" s="250">
        <f t="shared" si="28"/>
        <v>183117022051865.12</v>
      </c>
      <c r="P46" s="248">
        <f t="shared" si="34"/>
        <v>2.3642290876801801E-6</v>
      </c>
      <c r="Q46" s="250" t="str">
        <f t="shared" si="35"/>
        <v/>
      </c>
      <c r="R46" s="251" t="str">
        <f t="shared" si="36"/>
        <v/>
      </c>
      <c r="S46" s="252">
        <f>IF(AND(E46&gt;0.95*BiasLight,E46&lt;1.05*BiasLight),"",IF(AugerModel="Sinton",calclifetimeauger(Auger_Coefficient,I46,P46),calclifetimerichter(SampleType,I46,SampleDoping,P46)))</f>
        <v>422970.79991578223</v>
      </c>
      <c r="T46" s="201" t="str">
        <f t="shared" si="37"/>
        <v/>
      </c>
      <c r="U46" s="252">
        <f t="shared" si="29"/>
        <v>372521.02997456101</v>
      </c>
      <c r="V46" s="251" t="str">
        <f>IF(AugerModel="Sinton","",IF(SampleType="n-type",n_intr_boltzmann(SampleDoping,0,K46,Temperature+273.15),n_intr_boltzmann(0,SampleDoping,K46,Temperature+273.15)))</f>
        <v/>
      </c>
      <c r="W46" s="251" t="str">
        <f t="shared" si="13"/>
        <v/>
      </c>
      <c r="X46" s="246">
        <f>IF(AND(A46&gt;TimeofMaxCD,I46&gt;Traps),IF(AugerModel="Sinton",CalcImpliedV(SampleDoping,O46),CalcImpliedVRichter(O46,SampleDoping,V46)),"")</f>
        <v>0.60176308255045829</v>
      </c>
      <c r="Y46" s="253">
        <f t="shared" si="30"/>
        <v>10.295872159289841</v>
      </c>
      <c r="Z46" s="200" t="str">
        <f t="shared" si="31"/>
        <v/>
      </c>
      <c r="AE46" s="251">
        <f t="shared" si="32"/>
        <v>1658.8265700246782</v>
      </c>
    </row>
    <row r="47" spans="1:31" x14ac:dyDescent="0.2">
      <c r="A47" s="244">
        <v>3.8500000000000001E-3</v>
      </c>
      <c r="B47" s="244">
        <v>5.4329000000000002E-2</v>
      </c>
      <c r="C47" s="245">
        <v>9.3012999999999998E-2</v>
      </c>
      <c r="D47" s="246">
        <f>IF(CouplingMode="AC",B47-(A$11-A$10)*SUM(B$9:B47)/0.21,B47)</f>
        <v>5.4329000000000002E-2</v>
      </c>
      <c r="E47" s="247">
        <f t="shared" si="20"/>
        <v>9.8014923718640681</v>
      </c>
      <c r="F47" s="247">
        <f t="shared" si="21"/>
        <v>9.8014923718640681</v>
      </c>
      <c r="G47" s="248">
        <f t="shared" si="22"/>
        <v>2.5806925608316257E+18</v>
      </c>
      <c r="H47" s="249">
        <f t="shared" si="23"/>
        <v>1.6010289903791095E-3</v>
      </c>
      <c r="I47" s="248">
        <f>IF(MobilityModel=DK,CalcDeltaN(H47,SampleDoping,Thickness,AreaFrac),CalcDeltaNDL(H47,AreaFrac,Thickness,SampleType,SampleDoping,Temperature))</f>
        <v>172114120544161.41</v>
      </c>
      <c r="J47" s="248" t="str">
        <f t="shared" si="24"/>
        <v/>
      </c>
      <c r="K47" s="248">
        <f t="shared" si="25"/>
        <v>172114120544161.41</v>
      </c>
      <c r="L47" s="250">
        <f t="shared" si="33"/>
        <v>-9.9273105355762512E+16</v>
      </c>
      <c r="M47" s="196" t="str">
        <f t="shared" si="26"/>
        <v/>
      </c>
      <c r="N47" s="196" t="str">
        <f t="shared" si="27"/>
        <v/>
      </c>
      <c r="O47" s="250">
        <f t="shared" si="28"/>
        <v>172114120544161.41</v>
      </c>
      <c r="P47" s="248">
        <f t="shared" si="34"/>
        <v>2.331116348298223E-6</v>
      </c>
      <c r="Q47" s="250" t="str">
        <f t="shared" si="35"/>
        <v/>
      </c>
      <c r="R47" s="251" t="str">
        <f t="shared" si="36"/>
        <v/>
      </c>
      <c r="S47" s="252">
        <f>IF(AND(E47&gt;0.95*BiasLight,E47&lt;1.05*BiasLight),"",IF(AugerModel="Sinton",calclifetimeauger(Auger_Coefficient,I47,P47),calclifetimerichter(SampleType,I47,SampleDoping,P47)))</f>
        <v>428978.96799455973</v>
      </c>
      <c r="T47" s="201" t="str">
        <f t="shared" si="37"/>
        <v/>
      </c>
      <c r="U47" s="252">
        <f t="shared" si="29"/>
        <v>372966.4596618904</v>
      </c>
      <c r="V47" s="251" t="str">
        <f>IF(AugerModel="Sinton","",IF(SampleType="n-type",n_intr_boltzmann(SampleDoping,0,K47,Temperature+273.15),n_intr_boltzmann(0,SampleDoping,K47,Temperature+273.15)))</f>
        <v/>
      </c>
      <c r="W47" s="251" t="str">
        <f t="shared" si="13"/>
        <v/>
      </c>
      <c r="X47" s="246">
        <f>IF(AND(A47&gt;TimeofMaxCD,I47&gt;Traps),IF(AugerModel="Sinton",CalcImpliedV(SampleDoping,O47),CalcImpliedVRichter(O47,SampleDoping,V47)),"")</f>
        <v>0.60012411754064465</v>
      </c>
      <c r="Y47" s="253">
        <f t="shared" si="30"/>
        <v>9.8146887754138508</v>
      </c>
      <c r="Z47" s="200" t="str">
        <f t="shared" si="31"/>
        <v/>
      </c>
      <c r="AE47" s="251">
        <f t="shared" si="32"/>
        <v>1659.0219716370691</v>
      </c>
    </row>
    <row r="48" spans="1:31" x14ac:dyDescent="0.2">
      <c r="A48" s="244">
        <v>3.9500000000000004E-3</v>
      </c>
      <c r="B48" s="244">
        <v>5.1597999999999998E-2</v>
      </c>
      <c r="C48" s="245">
        <v>8.8647000000000004E-2</v>
      </c>
      <c r="D48" s="246">
        <f>IF(CouplingMode="AC",B48-(A$11-A$10)*SUM(B$9:B48)/0.21,B48)</f>
        <v>5.1597999999999998E-2</v>
      </c>
      <c r="E48" s="247">
        <f t="shared" si="20"/>
        <v>9.3414135044416824</v>
      </c>
      <c r="F48" s="247">
        <f t="shared" si="21"/>
        <v>9.3414135044416824</v>
      </c>
      <c r="G48" s="248">
        <f t="shared" si="22"/>
        <v>2.459555690495319E+18</v>
      </c>
      <c r="H48" s="249">
        <f t="shared" si="23"/>
        <v>1.5205211198971967E-3</v>
      </c>
      <c r="I48" s="248">
        <f>IF(MobilityModel=DK,CalcDeltaN(H48,SampleDoping,Thickness,AreaFrac),CalcDeltaNDL(H48,AreaFrac,Thickness,SampleType,SampleDoping,Temperature))</f>
        <v>163444171688454</v>
      </c>
      <c r="J48" s="248" t="str">
        <f t="shared" si="24"/>
        <v/>
      </c>
      <c r="K48" s="248">
        <f t="shared" si="25"/>
        <v>163444171688454</v>
      </c>
      <c r="L48" s="250">
        <f t="shared" si="33"/>
        <v>-9.1605983750602656E+16</v>
      </c>
      <c r="M48" s="196" t="str">
        <f t="shared" si="26"/>
        <v/>
      </c>
      <c r="N48" s="196" t="str">
        <f t="shared" si="27"/>
        <v/>
      </c>
      <c r="O48" s="250">
        <f t="shared" si="28"/>
        <v>163444171688454</v>
      </c>
      <c r="P48" s="248">
        <f t="shared" si="34"/>
        <v>2.3228173252422041E-6</v>
      </c>
      <c r="Q48" s="250" t="str">
        <f t="shared" si="35"/>
        <v/>
      </c>
      <c r="R48" s="251" t="str">
        <f t="shared" si="36"/>
        <v/>
      </c>
      <c r="S48" s="252">
        <f>IF(AND(E48&gt;0.95*BiasLight,E48&lt;1.05*BiasLight),"",IF(AugerModel="Sinton",calclifetimeauger(Auger_Coefficient,I48,P48),calclifetimerichter(SampleType,I48,SampleDoping,P48)))</f>
        <v>430511.64038043632</v>
      </c>
      <c r="T48" s="201" t="str">
        <f t="shared" si="37"/>
        <v/>
      </c>
      <c r="U48" s="252">
        <f t="shared" si="29"/>
        <v>373317.44459120708</v>
      </c>
      <c r="V48" s="251" t="str">
        <f>IF(AugerModel="Sinton","",IF(SampleType="n-type",n_intr_boltzmann(SampleDoping,0,K48,Temperature+273.15),n_intr_boltzmann(0,SampleDoping,K48,Temperature+273.15)))</f>
        <v/>
      </c>
      <c r="W48" s="251" t="str">
        <f t="shared" si="13"/>
        <v/>
      </c>
      <c r="X48" s="246">
        <f>IF(AND(A48&gt;TimeofMaxCD,I48&gt;Traps),IF(AugerModel="Sinton",CalcImpliedV(SampleDoping,O48),CalcImpliedVRichter(O48,SampleDoping,V48)),"")</f>
        <v>0.59875918952895724</v>
      </c>
      <c r="Y48" s="253">
        <f t="shared" si="30"/>
        <v>9.3535907152261668</v>
      </c>
      <c r="Z48" s="200" t="str">
        <f t="shared" si="31"/>
        <v/>
      </c>
      <c r="AE48" s="251">
        <f t="shared" si="32"/>
        <v>1659.176019792129</v>
      </c>
    </row>
    <row r="49" spans="1:31" x14ac:dyDescent="0.2">
      <c r="A49" s="244">
        <v>4.0499999999999998E-3</v>
      </c>
      <c r="B49" s="244">
        <v>4.8549000000000002E-2</v>
      </c>
      <c r="C49" s="245">
        <v>8.4544999999999995E-2</v>
      </c>
      <c r="D49" s="246">
        <f>IF(CouplingMode="AC",B49-(A$11-A$10)*SUM(B$9:B49)/0.21,B49)</f>
        <v>4.8549000000000002E-2</v>
      </c>
      <c r="E49" s="247">
        <f t="shared" si="20"/>
        <v>8.9091543394928419</v>
      </c>
      <c r="F49" s="247">
        <f t="shared" si="21"/>
        <v>8.9091543394928419</v>
      </c>
      <c r="G49" s="248">
        <f t="shared" si="22"/>
        <v>2.3457436332072914E+18</v>
      </c>
      <c r="H49" s="249">
        <f t="shared" si="23"/>
        <v>1.4306423007808822E-3</v>
      </c>
      <c r="I49" s="248">
        <f>IF(MobilityModel=DK,CalcDeltaN(H49,SampleDoping,Thickness,AreaFrac),CalcDeltaNDL(H49,AreaFrac,Thickness,SampleType,SampleDoping,Temperature))</f>
        <v>153766956186726.56</v>
      </c>
      <c r="J49" s="248" t="str">
        <f t="shared" si="24"/>
        <v/>
      </c>
      <c r="K49" s="248">
        <f t="shared" si="25"/>
        <v>153766956186726.56</v>
      </c>
      <c r="L49" s="250">
        <f t="shared" si="33"/>
        <v>-8.5715757732607008E+16</v>
      </c>
      <c r="M49" s="196" t="str">
        <f t="shared" si="26"/>
        <v/>
      </c>
      <c r="N49" s="196" t="str">
        <f t="shared" si="27"/>
        <v/>
      </c>
      <c r="O49" s="250">
        <f t="shared" si="28"/>
        <v>153766956186726.56</v>
      </c>
      <c r="P49" s="248">
        <f t="shared" si="34"/>
        <v>2.2913711281181531E-6</v>
      </c>
      <c r="Q49" s="250" t="str">
        <f t="shared" si="35"/>
        <v/>
      </c>
      <c r="R49" s="251" t="str">
        <f t="shared" si="36"/>
        <v/>
      </c>
      <c r="S49" s="252">
        <f>IF(AND(E49&gt;0.95*BiasLight,E49&lt;1.05*BiasLight),"",IF(AugerModel="Sinton",calclifetimeauger(Auger_Coefficient,I49,P49),calclifetimerichter(SampleType,I49,SampleDoping,P49)))</f>
        <v>436419.87881993846</v>
      </c>
      <c r="T49" s="201" t="str">
        <f t="shared" si="37"/>
        <v/>
      </c>
      <c r="U49" s="252">
        <f t="shared" si="29"/>
        <v>373709.20662526105</v>
      </c>
      <c r="V49" s="251" t="str">
        <f>IF(AugerModel="Sinton","",IF(SampleType="n-type",n_intr_boltzmann(SampleDoping,0,K49,Temperature+273.15),n_intr_boltzmann(0,SampleDoping,K49,Temperature+273.15)))</f>
        <v/>
      </c>
      <c r="W49" s="251" t="str">
        <f t="shared" si="13"/>
        <v/>
      </c>
      <c r="X49" s="246">
        <f>IF(AND(A49&gt;TimeofMaxCD,I49&gt;Traps),IF(AugerModel="Sinton",CalcImpliedV(SampleDoping,O49),CalcImpliedVRichter(O49,SampleDoping,V49)),"")</f>
        <v>0.59714976214846405</v>
      </c>
      <c r="Y49" s="253">
        <f t="shared" si="30"/>
        <v>8.9205485607732289</v>
      </c>
      <c r="Z49" s="200" t="str">
        <f t="shared" si="31"/>
        <v/>
      </c>
      <c r="AE49" s="251">
        <f t="shared" si="32"/>
        <v>1659.3480460940859</v>
      </c>
    </row>
    <row r="50" spans="1:31" x14ac:dyDescent="0.2">
      <c r="A50" s="244">
        <v>4.15E-3</v>
      </c>
      <c r="B50" s="244">
        <v>4.6254999999999998E-2</v>
      </c>
      <c r="C50" s="245">
        <v>8.0643000000000006E-2</v>
      </c>
      <c r="D50" s="246">
        <f>IF(CouplingMode="AC",B50-(A$11-A$10)*SUM(B$9:B50)/0.21,B50)</f>
        <v>4.6254999999999998E-2</v>
      </c>
      <c r="E50" s="247">
        <f t="shared" si="20"/>
        <v>8.4979707067209329</v>
      </c>
      <c r="F50" s="247">
        <f t="shared" si="21"/>
        <v>8.4979707067209329</v>
      </c>
      <c r="G50" s="248">
        <f t="shared" si="22"/>
        <v>2.2374806767134144E+18</v>
      </c>
      <c r="H50" s="249">
        <f t="shared" si="23"/>
        <v>1.3630218745829988E-3</v>
      </c>
      <c r="I50" s="248">
        <f>IF(MobilityModel=DK,CalcDeltaN(H50,SampleDoping,Thickness,AreaFrac),CalcDeltaNDL(H50,AreaFrac,Thickness,SampleType,SampleDoping,Temperature))</f>
        <v>146487612355281.22</v>
      </c>
      <c r="J50" s="248" t="str">
        <f t="shared" si="24"/>
        <v/>
      </c>
      <c r="K50" s="248">
        <f t="shared" si="25"/>
        <v>146487612355281.22</v>
      </c>
      <c r="L50" s="250">
        <f t="shared" si="33"/>
        <v>-8.1351096656721632E+16</v>
      </c>
      <c r="M50" s="196" t="str">
        <f t="shared" si="26"/>
        <v/>
      </c>
      <c r="N50" s="196" t="str">
        <f t="shared" si="27"/>
        <v/>
      </c>
      <c r="O50" s="250">
        <f t="shared" si="28"/>
        <v>146487612355281.22</v>
      </c>
      <c r="P50" s="248">
        <f t="shared" si="34"/>
        <v>2.2885338719655849E-6</v>
      </c>
      <c r="Q50" s="250" t="str">
        <f t="shared" si="35"/>
        <v/>
      </c>
      <c r="R50" s="251" t="str">
        <f t="shared" si="36"/>
        <v/>
      </c>
      <c r="S50" s="252">
        <f>IF(AND(E50&gt;0.95*BiasLight,E50&lt;1.05*BiasLight),"",IF(AugerModel="Sinton",calclifetimeauger(Auger_Coefficient,I50,P50),calclifetimerichter(SampleType,I50,SampleDoping,P50)))</f>
        <v>436960.94286799489</v>
      </c>
      <c r="T50" s="201" t="str">
        <f t="shared" si="37"/>
        <v/>
      </c>
      <c r="U50" s="252">
        <f t="shared" si="29"/>
        <v>374003.89578925417</v>
      </c>
      <c r="V50" s="251" t="str">
        <f>IF(AugerModel="Sinton","",IF(SampleType="n-type",n_intr_boltzmann(SampleDoping,0,K50,Temperature+273.15),n_intr_boltzmann(0,SampleDoping,K50,Temperature+273.15)))</f>
        <v/>
      </c>
      <c r="W50" s="251" t="str">
        <f t="shared" si="13"/>
        <v/>
      </c>
      <c r="X50" s="246">
        <f>IF(AND(A50&gt;TimeofMaxCD,I50&gt;Traps),IF(AugerModel="Sinton",CalcImpliedV(SampleDoping,O50),CalcImpliedVRichter(O50,SampleDoping,V50)),"")</f>
        <v>0.59587261837163008</v>
      </c>
      <c r="Y50" s="253">
        <f t="shared" si="30"/>
        <v>8.5087847323006915</v>
      </c>
      <c r="Z50" s="200" t="str">
        <f t="shared" si="31"/>
        <v/>
      </c>
      <c r="AE50" s="251">
        <f t="shared" si="32"/>
        <v>1659.4775031714989</v>
      </c>
    </row>
    <row r="51" spans="1:31" x14ac:dyDescent="0.2">
      <c r="A51" s="244">
        <v>4.2500000000000003E-3</v>
      </c>
      <c r="B51" s="244">
        <v>4.3496E-2</v>
      </c>
      <c r="C51" s="245">
        <v>7.6925999999999994E-2</v>
      </c>
      <c r="D51" s="246">
        <f>IF(CouplingMode="AC",B51-(A$11-A$10)*SUM(B$9:B51)/0.21,B51)</f>
        <v>4.3496E-2</v>
      </c>
      <c r="E51" s="247">
        <f t="shared" si="20"/>
        <v>8.1062819412126839</v>
      </c>
      <c r="F51" s="247">
        <f t="shared" si="21"/>
        <v>8.1062819412126839</v>
      </c>
      <c r="G51" s="248">
        <f t="shared" si="22"/>
        <v>2.1343506384541266E+18</v>
      </c>
      <c r="H51" s="249">
        <f t="shared" si="23"/>
        <v>1.2816973402681731E-3</v>
      </c>
      <c r="I51" s="248">
        <f>IF(MobilityModel=DK,CalcDeltaN(H51,SampleDoping,Thickness,AreaFrac),CalcDeltaNDL(H51,AreaFrac,Thickness,SampleType,SampleDoping,Temperature))</f>
        <v>137734521344444.28</v>
      </c>
      <c r="J51" s="248" t="str">
        <f t="shared" si="24"/>
        <v/>
      </c>
      <c r="K51" s="248">
        <f t="shared" si="25"/>
        <v>137734521344444.28</v>
      </c>
      <c r="L51" s="250">
        <f t="shared" si="33"/>
        <v>-7.7009887402191568E+16</v>
      </c>
      <c r="M51" s="196" t="str">
        <f t="shared" si="26"/>
        <v/>
      </c>
      <c r="N51" s="196" t="str">
        <f t="shared" si="27"/>
        <v/>
      </c>
      <c r="O51" s="250">
        <f t="shared" si="28"/>
        <v>137734521344444.28</v>
      </c>
      <c r="P51" s="248">
        <f t="shared" si="34"/>
        <v>2.2557812428887243E-6</v>
      </c>
      <c r="Q51" s="250" t="str">
        <f t="shared" si="35"/>
        <v/>
      </c>
      <c r="R51" s="251" t="str">
        <f t="shared" si="36"/>
        <v/>
      </c>
      <c r="S51" s="252">
        <f>IF(AND(E51&gt;0.95*BiasLight,E51&lt;1.05*BiasLight),"",IF(AugerModel="Sinton",calclifetimeauger(Auger_Coefficient,I51,P51),calclifetimerichter(SampleType,I51,SampleDoping,P51)))</f>
        <v>443305.3657638455</v>
      </c>
      <c r="T51" s="201" t="str">
        <f t="shared" si="37"/>
        <v/>
      </c>
      <c r="U51" s="252">
        <f t="shared" si="29"/>
        <v>374358.24655658519</v>
      </c>
      <c r="V51" s="251" t="str">
        <f>IF(AugerModel="Sinton","",IF(SampleType="n-type",n_intr_boltzmann(SampleDoping,0,K51,Temperature+273.15),n_intr_boltzmann(0,SampleDoping,K51,Temperature+273.15)))</f>
        <v/>
      </c>
      <c r="W51" s="251" t="str">
        <f t="shared" si="13"/>
        <v/>
      </c>
      <c r="X51" s="246">
        <f>IF(AND(A51&gt;TimeofMaxCD,I51&gt;Traps),IF(AugerModel="Sinton",CalcImpliedV(SampleDoping,O51),CalcImpliedVRichter(O51,SampleDoping,V51)),"")</f>
        <v>0.59425216132113667</v>
      </c>
      <c r="Y51" s="253">
        <f t="shared" si="30"/>
        <v>8.1165188885494342</v>
      </c>
      <c r="Z51" s="200" t="str">
        <f t="shared" si="31"/>
        <v/>
      </c>
      <c r="AE51" s="251">
        <f t="shared" si="32"/>
        <v>1659.6332337766642</v>
      </c>
    </row>
    <row r="52" spans="1:31" x14ac:dyDescent="0.2">
      <c r="A52" s="244">
        <v>4.3499999999999997E-3</v>
      </c>
      <c r="B52" s="244">
        <v>4.1305000000000001E-2</v>
      </c>
      <c r="C52" s="245">
        <v>7.3408000000000001E-2</v>
      </c>
      <c r="D52" s="246">
        <f>IF(CouplingMode="AC",B52-(A$11-A$10)*SUM(B$9:B52)/0.21,B52)</f>
        <v>4.1305000000000001E-2</v>
      </c>
      <c r="E52" s="247">
        <f t="shared" si="20"/>
        <v>7.7355633302204803</v>
      </c>
      <c r="F52" s="247">
        <f t="shared" si="21"/>
        <v>7.7355633302204803</v>
      </c>
      <c r="G52" s="248">
        <f t="shared" si="22"/>
        <v>2.0367419554850181E+18</v>
      </c>
      <c r="H52" s="249">
        <f t="shared" si="23"/>
        <v>1.2171173531786358E-3</v>
      </c>
      <c r="I52" s="248">
        <f>IF(MobilityModel=DK,CalcDeltaN(H52,SampleDoping,Thickness,AreaFrac),CalcDeltaNDL(H52,AreaFrac,Thickness,SampleType,SampleDoping,Temperature))</f>
        <v>130784840781234.36</v>
      </c>
      <c r="J52" s="248" t="str">
        <f t="shared" si="24"/>
        <v/>
      </c>
      <c r="K52" s="248">
        <f t="shared" si="25"/>
        <v>130784840781234.36</v>
      </c>
      <c r="L52" s="250">
        <f t="shared" si="33"/>
        <v>-7.3589692300735568E+16</v>
      </c>
      <c r="M52" s="196" t="str">
        <f t="shared" si="26"/>
        <v/>
      </c>
      <c r="N52" s="196" t="str">
        <f t="shared" si="27"/>
        <v/>
      </c>
      <c r="O52" s="250">
        <f t="shared" si="28"/>
        <v>130784840781234.36</v>
      </c>
      <c r="P52" s="248">
        <f t="shared" si="34"/>
        <v>2.2446084117573141E-6</v>
      </c>
      <c r="Q52" s="250" t="str">
        <f t="shared" si="35"/>
        <v/>
      </c>
      <c r="R52" s="251" t="str">
        <f t="shared" si="36"/>
        <v/>
      </c>
      <c r="S52" s="252">
        <f>IF(AND(E52&gt;0.95*BiasLight,E52&lt;1.05*BiasLight),"",IF(AugerModel="Sinton",calclifetimeauger(Auger_Coefficient,I52,P52),calclifetimerichter(SampleType,I52,SampleDoping,P52)))</f>
        <v>445511.97929630114</v>
      </c>
      <c r="T52" s="201" t="str">
        <f t="shared" si="37"/>
        <v/>
      </c>
      <c r="U52" s="252">
        <f t="shared" si="29"/>
        <v>374639.5899856927</v>
      </c>
      <c r="V52" s="251" t="str">
        <f>IF(AugerModel="Sinton","",IF(SampleType="n-type",n_intr_boltzmann(SampleDoping,0,K52,Temperature+273.15),n_intr_boltzmann(0,SampleDoping,K52,Temperature+273.15)))</f>
        <v/>
      </c>
      <c r="W52" s="251" t="str">
        <f t="shared" si="13"/>
        <v/>
      </c>
      <c r="X52" s="246">
        <f>IF(AND(A52&gt;TimeofMaxCD,I52&gt;Traps),IF(AugerModel="Sinton",CalcImpliedV(SampleDoping,O52),CalcImpliedVRichter(O52,SampleDoping,V52)),"")</f>
        <v>0.59289216156754654</v>
      </c>
      <c r="Y52" s="253">
        <f t="shared" si="30"/>
        <v>7.7453456300007142</v>
      </c>
      <c r="Z52" s="200" t="str">
        <f t="shared" si="31"/>
        <v/>
      </c>
      <c r="AE52" s="251">
        <f t="shared" si="32"/>
        <v>1659.7569289560965</v>
      </c>
    </row>
    <row r="53" spans="1:31" x14ac:dyDescent="0.2">
      <c r="A53" s="244">
        <v>4.45E-3</v>
      </c>
      <c r="B53" s="244">
        <v>3.8885999999999997E-2</v>
      </c>
      <c r="C53" s="245">
        <v>7.0049E-2</v>
      </c>
      <c r="D53" s="246">
        <f>IF(CouplingMode="AC",B53-(A$11-A$10)*SUM(B$9:B53)/0.21,B53)</f>
        <v>3.8885999999999997E-2</v>
      </c>
      <c r="E53" s="247">
        <f t="shared" si="20"/>
        <v>7.3815997673089369</v>
      </c>
      <c r="F53" s="247">
        <f t="shared" si="21"/>
        <v>7.3815997673089369</v>
      </c>
      <c r="G53" s="248">
        <f t="shared" si="22"/>
        <v>1.9435448076472596E+18</v>
      </c>
      <c r="H53" s="249">
        <f t="shared" si="23"/>
        <v>1.1458192265675349E-3</v>
      </c>
      <c r="I53" s="248">
        <f>IF(MobilityModel=DK,CalcDeltaN(H53,SampleDoping,Thickness,AreaFrac),CalcDeltaNDL(H53,AreaFrac,Thickness,SampleType,SampleDoping,Temperature))</f>
        <v>123113398272654.2</v>
      </c>
      <c r="J53" s="248" t="str">
        <f t="shared" si="24"/>
        <v/>
      </c>
      <c r="K53" s="248">
        <f t="shared" si="25"/>
        <v>123113398272654.2</v>
      </c>
      <c r="L53" s="250">
        <f t="shared" si="33"/>
        <v>-6.4475908811761544E+16</v>
      </c>
      <c r="M53" s="196" t="str">
        <f t="shared" si="26"/>
        <v/>
      </c>
      <c r="N53" s="196" t="str">
        <f t="shared" si="27"/>
        <v/>
      </c>
      <c r="O53" s="250">
        <f t="shared" si="28"/>
        <v>123113398272654.2</v>
      </c>
      <c r="P53" s="248">
        <f t="shared" si="34"/>
        <v>2.214495681217051E-6</v>
      </c>
      <c r="Q53" s="250" t="str">
        <f t="shared" si="35"/>
        <v/>
      </c>
      <c r="R53" s="251" t="str">
        <f t="shared" si="36"/>
        <v/>
      </c>
      <c r="S53" s="252">
        <f>IF(AND(E53&gt;0.95*BiasLight,E53&lt;1.05*BiasLight),"",IF(AugerModel="Sinton",calclifetimeauger(Auger_Coefficient,I53,P53),calclifetimerichter(SampleType,I53,SampleDoping,P53)))</f>
        <v>451570.05848512967</v>
      </c>
      <c r="T53" s="201" t="str">
        <f t="shared" si="37"/>
        <v/>
      </c>
      <c r="U53" s="252">
        <f t="shared" si="29"/>
        <v>374950.15245283558</v>
      </c>
      <c r="V53" s="251" t="str">
        <f>IF(AugerModel="Sinton","",IF(SampleType="n-type",n_intr_boltzmann(SampleDoping,0,K53,Temperature+273.15),n_intr_boltzmann(0,SampleDoping,K53,Temperature+273.15)))</f>
        <v/>
      </c>
      <c r="W53" s="251" t="str">
        <f t="shared" si="13"/>
        <v/>
      </c>
      <c r="X53" s="246">
        <f>IF(AND(A53&gt;TimeofMaxCD,I53&gt;Traps),IF(AugerModel="Sinton",CalcImpliedV(SampleDoping,O53),CalcImpliedVRichter(O53,SampleDoping,V53)),"")</f>
        <v>0.59130620209059803</v>
      </c>
      <c r="Y53" s="253">
        <f t="shared" si="30"/>
        <v>7.3901705691275135</v>
      </c>
      <c r="Z53" s="200" t="str">
        <f t="shared" si="31"/>
        <v/>
      </c>
      <c r="AE53" s="251">
        <f t="shared" si="32"/>
        <v>1659.8935219453151</v>
      </c>
    </row>
    <row r="54" spans="1:31" x14ac:dyDescent="0.2">
      <c r="A54" s="244">
        <v>4.5500000000000002E-3</v>
      </c>
      <c r="B54" s="244">
        <v>3.6958999999999999E-2</v>
      </c>
      <c r="C54" s="245">
        <v>6.6860000000000003E-2</v>
      </c>
      <c r="D54" s="246">
        <f>IF(CouplingMode="AC",B54-(A$11-A$10)*SUM(B$9:B54)/0.21,B54)</f>
        <v>3.6958999999999999E-2</v>
      </c>
      <c r="E54" s="247">
        <f t="shared" si="20"/>
        <v>7.0455504067477843</v>
      </c>
      <c r="F54" s="247">
        <f t="shared" si="21"/>
        <v>7.0455504067477843</v>
      </c>
      <c r="G54" s="248">
        <f t="shared" si="22"/>
        <v>1.8550643954845292E+18</v>
      </c>
      <c r="H54" s="249">
        <f t="shared" si="23"/>
        <v>1.0890240568251636E-3</v>
      </c>
      <c r="I54" s="248">
        <f>IF(MobilityModel=DK,CalcDeltaN(H54,SampleDoping,Thickness,AreaFrac),CalcDeltaNDL(H54,AreaFrac,Thickness,SampleType,SampleDoping,Temperature))</f>
        <v>117003327740808.47</v>
      </c>
      <c r="J54" s="248" t="str">
        <f t="shared" si="24"/>
        <v/>
      </c>
      <c r="K54" s="248">
        <f t="shared" si="25"/>
        <v>117003327740808.47</v>
      </c>
      <c r="L54" s="250">
        <f t="shared" si="33"/>
        <v>-6.2723644125524696E+16</v>
      </c>
      <c r="M54" s="196" t="str">
        <f t="shared" si="26"/>
        <v/>
      </c>
      <c r="N54" s="196" t="str">
        <f t="shared" si="27"/>
        <v/>
      </c>
      <c r="O54" s="250">
        <f t="shared" si="28"/>
        <v>117003327740808.47</v>
      </c>
      <c r="P54" s="248">
        <f t="shared" si="34"/>
        <v>2.2049239641345113E-6</v>
      </c>
      <c r="Q54" s="250" t="str">
        <f t="shared" si="35"/>
        <v/>
      </c>
      <c r="R54" s="251" t="str">
        <f t="shared" si="36"/>
        <v/>
      </c>
      <c r="S54" s="252">
        <f>IF(AND(E54&gt;0.95*BiasLight,E54&lt;1.05*BiasLight),"",IF(AugerModel="Sinton",calclifetimeauger(Auger_Coefficient,I54,P54),calclifetimerichter(SampleType,I54,SampleDoping,P54)))</f>
        <v>453530.35576696467</v>
      </c>
      <c r="T54" s="201" t="str">
        <f t="shared" si="37"/>
        <v/>
      </c>
      <c r="U54" s="252">
        <f t="shared" si="29"/>
        <v>375197.50600813684</v>
      </c>
      <c r="V54" s="251" t="str">
        <f>IF(AugerModel="Sinton","",IF(SampleType="n-type",n_intr_boltzmann(SampleDoping,0,K54,Temperature+273.15),n_intr_boltzmann(0,SampleDoping,K54,Temperature+273.15)))</f>
        <v/>
      </c>
      <c r="W54" s="251" t="str">
        <f t="shared" si="13"/>
        <v/>
      </c>
      <c r="X54" s="246">
        <f>IF(AND(A54&gt;TimeofMaxCD,I54&gt;Traps),IF(AugerModel="Sinton",CalcImpliedV(SampleDoping,O54),CalcImpliedVRichter(O54,SampleDoping,V54)),"")</f>
        <v>0.58997213054245368</v>
      </c>
      <c r="Y54" s="253">
        <f t="shared" si="30"/>
        <v>7.0538882794981834</v>
      </c>
      <c r="Z54" s="200" t="str">
        <f t="shared" si="31"/>
        <v/>
      </c>
      <c r="AE54" s="251">
        <f t="shared" si="32"/>
        <v>1660.0023527281392</v>
      </c>
    </row>
    <row r="55" spans="1:31" x14ac:dyDescent="0.2">
      <c r="A55" s="244">
        <v>4.6499999999999996E-3</v>
      </c>
      <c r="B55" s="244">
        <v>3.5503E-2</v>
      </c>
      <c r="C55" s="245">
        <v>6.3851000000000005E-2</v>
      </c>
      <c r="D55" s="246">
        <f>IF(CouplingMode="AC",B55-(A$11-A$10)*SUM(B$9:B55)/0.21,B55)</f>
        <v>3.5503E-2</v>
      </c>
      <c r="E55" s="247">
        <f t="shared" si="20"/>
        <v>6.728469025145869</v>
      </c>
      <c r="F55" s="247">
        <f t="shared" si="21"/>
        <v>6.728469025145869</v>
      </c>
      <c r="G55" s="248">
        <f t="shared" si="22"/>
        <v>1.7715781740365343E+18</v>
      </c>
      <c r="H55" s="249">
        <f t="shared" si="23"/>
        <v>1.0461118071986054E-3</v>
      </c>
      <c r="I55" s="248">
        <f>IF(MobilityModel=DK,CalcDeltaN(H55,SampleDoping,Thickness,AreaFrac),CalcDeltaNDL(H55,AreaFrac,Thickness,SampleType,SampleDoping,Temperature))</f>
        <v>112387323458776.48</v>
      </c>
      <c r="J55" s="248" t="str">
        <f t="shared" si="24"/>
        <v/>
      </c>
      <c r="K55" s="248">
        <f t="shared" si="25"/>
        <v>112387323458776.48</v>
      </c>
      <c r="L55" s="250">
        <f t="shared" si="33"/>
        <v>-5.7803172786064808E+16</v>
      </c>
      <c r="M55" s="196" t="str">
        <f t="shared" si="26"/>
        <v/>
      </c>
      <c r="N55" s="196" t="str">
        <f t="shared" si="27"/>
        <v/>
      </c>
      <c r="O55" s="250">
        <f t="shared" si="28"/>
        <v>112387323458776.48</v>
      </c>
      <c r="P55" s="248">
        <f t="shared" si="34"/>
        <v>2.2178357414027109E-6</v>
      </c>
      <c r="Q55" s="250" t="str">
        <f t="shared" si="35"/>
        <v/>
      </c>
      <c r="R55" s="251" t="str">
        <f t="shared" si="36"/>
        <v/>
      </c>
      <c r="S55" s="252">
        <f>IF(AND(E55&gt;0.95*BiasLight,E55&lt;1.05*BiasLight),"",IF(AugerModel="Sinton",calclifetimeauger(Auger_Coefficient,I55,P55),calclifetimerichter(SampleType,I55,SampleDoping,P55)))</f>
        <v>450889.99822208611</v>
      </c>
      <c r="T55" s="201" t="str">
        <f t="shared" si="37"/>
        <v/>
      </c>
      <c r="U55" s="252">
        <f t="shared" si="29"/>
        <v>375384.3753846024</v>
      </c>
      <c r="V55" s="251" t="str">
        <f>IF(AugerModel="Sinton","",IF(SampleType="n-type",n_intr_boltzmann(SampleDoping,0,K55,Temperature+273.15),n_intr_boltzmann(0,SampleDoping,K55,Temperature+273.15)))</f>
        <v/>
      </c>
      <c r="W55" s="251" t="str">
        <f t="shared" si="13"/>
        <v/>
      </c>
      <c r="X55" s="246">
        <f>IF(AND(A55&gt;TimeofMaxCD,I55&gt;Traps),IF(AugerModel="Sinton",CalcImpliedV(SampleDoping,O55),CalcImpliedVRichter(O55,SampleDoping,V55)),"")</f>
        <v>0.5889181436262958</v>
      </c>
      <c r="Y55" s="253">
        <f t="shared" si="30"/>
        <v>6.7361528181712718</v>
      </c>
      <c r="Z55" s="200" t="str">
        <f t="shared" si="31"/>
        <v/>
      </c>
      <c r="AE55" s="251">
        <f t="shared" si="32"/>
        <v>1660.0845943713807</v>
      </c>
    </row>
    <row r="56" spans="1:31" x14ac:dyDescent="0.2">
      <c r="A56" s="244">
        <v>4.7499999999999999E-3</v>
      </c>
      <c r="B56" s="244">
        <v>3.3105000000000002E-2</v>
      </c>
      <c r="C56" s="245">
        <v>6.0983999999999997E-2</v>
      </c>
      <c r="D56" s="246">
        <f>IF(CouplingMode="AC",B56-(A$11-A$10)*SUM(B$9:B56)/0.21,B56)</f>
        <v>3.3105000000000002E-2</v>
      </c>
      <c r="E56" s="247">
        <f t="shared" si="20"/>
        <v>6.4263512713895725</v>
      </c>
      <c r="F56" s="247">
        <f t="shared" si="21"/>
        <v>6.4263512713895725</v>
      </c>
      <c r="G56" s="248">
        <f t="shared" si="22"/>
        <v>1.6920318141523858E+18</v>
      </c>
      <c r="H56" s="249">
        <f t="shared" si="23"/>
        <v>9.7543808829182385E-4</v>
      </c>
      <c r="I56" s="248">
        <f>IF(MobilityModel=DK,CalcDeltaN(H56,SampleDoping,Thickness,AreaFrac),CalcDeltaNDL(H56,AreaFrac,Thickness,SampleType,SampleDoping,Temperature))</f>
        <v>104786056125410.87</v>
      </c>
      <c r="J56" s="248" t="str">
        <f t="shared" si="24"/>
        <v/>
      </c>
      <c r="K56" s="248">
        <f t="shared" si="25"/>
        <v>104786056125410.87</v>
      </c>
      <c r="L56" s="250">
        <f t="shared" si="33"/>
        <v>-5.6916842223027488E+16</v>
      </c>
      <c r="M56" s="196" t="str">
        <f t="shared" si="26"/>
        <v/>
      </c>
      <c r="N56" s="196" t="str">
        <f t="shared" si="27"/>
        <v/>
      </c>
      <c r="O56" s="250">
        <f t="shared" si="28"/>
        <v>104786056125410.87</v>
      </c>
      <c r="P56" s="248">
        <f t="shared" si="34"/>
        <v>2.1649706102317223E-6</v>
      </c>
      <c r="Q56" s="250" t="str">
        <f t="shared" si="35"/>
        <v/>
      </c>
      <c r="R56" s="251" t="str">
        <f t="shared" si="36"/>
        <v/>
      </c>
      <c r="S56" s="252">
        <f>IF(AND(E56&gt;0.95*BiasLight,E56&lt;1.05*BiasLight),"",IF(AugerModel="Sinton",calclifetimeauger(Auger_Coefficient,I56,P56),calclifetimerichter(SampleType,I56,SampleDoping,P56)))</f>
        <v>461900.01647738705</v>
      </c>
      <c r="T56" s="201" t="str">
        <f t="shared" si="37"/>
        <v/>
      </c>
      <c r="U56" s="252">
        <f t="shared" si="29"/>
        <v>375692.09695506614</v>
      </c>
      <c r="V56" s="251" t="str">
        <f>IF(AugerModel="Sinton","",IF(SampleType="n-type",n_intr_boltzmann(SampleDoping,0,K56,Temperature+273.15),n_intr_boltzmann(0,SampleDoping,K56,Temperature+273.15)))</f>
        <v/>
      </c>
      <c r="W56" s="251" t="str">
        <f t="shared" si="13"/>
        <v/>
      </c>
      <c r="X56" s="246">
        <f>IF(AND(A56&gt;TimeofMaxCD,I56&gt;Traps),IF(AugerModel="Sinton",CalcImpliedV(SampleDoping,O56),CalcImpliedVRichter(O56,SampleDoping,V56)),"")</f>
        <v>0.58708620395393007</v>
      </c>
      <c r="Y56" s="253">
        <f t="shared" si="30"/>
        <v>6.4339172442284669</v>
      </c>
      <c r="Z56" s="200" t="str">
        <f t="shared" si="31"/>
        <v/>
      </c>
      <c r="AE56" s="251">
        <f t="shared" si="32"/>
        <v>1660.2200660150061</v>
      </c>
    </row>
    <row r="57" spans="1:31" x14ac:dyDescent="0.2">
      <c r="A57" s="244">
        <v>4.8500000000000001E-3</v>
      </c>
      <c r="B57" s="244">
        <v>3.1696000000000002E-2</v>
      </c>
      <c r="C57" s="245">
        <v>5.8247E-2</v>
      </c>
      <c r="D57" s="246">
        <f>IF(CouplingMode="AC",B57-(A$11-A$10)*SUM(B$9:B57)/0.21,B57)</f>
        <v>3.1696000000000002E-2</v>
      </c>
      <c r="E57" s="247">
        <f t="shared" si="20"/>
        <v>6.1379326135482826</v>
      </c>
      <c r="F57" s="247">
        <f t="shared" si="21"/>
        <v>6.1379326135482826</v>
      </c>
      <c r="G57" s="248">
        <f t="shared" si="22"/>
        <v>1.6160923697844357E+18</v>
      </c>
      <c r="H57" s="249">
        <f t="shared" si="23"/>
        <v>9.3391317318188699E-4</v>
      </c>
      <c r="I57" s="248">
        <f>IF(MobilityModel=DK,CalcDeltaN(H57,SampleDoping,Thickness,AreaFrac),CalcDeltaNDL(H57,AreaFrac,Thickness,SampleType,SampleDoping,Temperature))</f>
        <v>100320447687320.59</v>
      </c>
      <c r="J57" s="248" t="str">
        <f t="shared" si="24"/>
        <v/>
      </c>
      <c r="K57" s="248">
        <f t="shared" si="25"/>
        <v>100320447687320.59</v>
      </c>
      <c r="L57" s="250">
        <f t="shared" si="33"/>
        <v>-5.8144592876585056E+16</v>
      </c>
      <c r="M57" s="196" t="str">
        <f t="shared" si="26"/>
        <v/>
      </c>
      <c r="N57" s="196" t="str">
        <f t="shared" si="27"/>
        <v/>
      </c>
      <c r="O57" s="250">
        <f t="shared" si="28"/>
        <v>100320447687320.59</v>
      </c>
      <c r="P57" s="248">
        <f t="shared" si="34"/>
        <v>2.1699253116888692E-6</v>
      </c>
      <c r="Q57" s="250" t="str">
        <f t="shared" si="35"/>
        <v/>
      </c>
      <c r="R57" s="251" t="str">
        <f t="shared" si="36"/>
        <v/>
      </c>
      <c r="S57" s="252">
        <f>IF(AND(E57&gt;0.95*BiasLight,E57&lt;1.05*BiasLight),"",IF(AugerModel="Sinton",calclifetimeauger(Auger_Coefficient,I57,P57),calclifetimerichter(SampleType,I57,SampleDoping,P57)))</f>
        <v>460845.33802212158</v>
      </c>
      <c r="T57" s="201" t="str">
        <f t="shared" si="37"/>
        <v/>
      </c>
      <c r="U57" s="252">
        <f t="shared" si="29"/>
        <v>375872.87786716659</v>
      </c>
      <c r="V57" s="251" t="str">
        <f>IF(AugerModel="Sinton","",IF(SampleType="n-type",n_intr_boltzmann(SampleDoping,0,K57,Temperature+273.15),n_intr_boltzmann(0,SampleDoping,K57,Temperature+273.15)))</f>
        <v/>
      </c>
      <c r="W57" s="251" t="str">
        <f t="shared" si="13"/>
        <v/>
      </c>
      <c r="X57" s="246">
        <f>IF(AND(A57&gt;TimeofMaxCD,I57&gt;Traps),IF(AugerModel="Sinton",CalcImpliedV(SampleDoping,O57),CalcImpliedVRichter(O57,SampleDoping,V57)),"")</f>
        <v>0.58594805145088202</v>
      </c>
      <c r="Y57" s="253">
        <f t="shared" si="30"/>
        <v>6.1456617916483074</v>
      </c>
      <c r="Z57" s="200" t="str">
        <f t="shared" si="31"/>
        <v/>
      </c>
      <c r="AE57" s="251">
        <f t="shared" si="32"/>
        <v>1660.2996779596917</v>
      </c>
    </row>
    <row r="58" spans="1:31" x14ac:dyDescent="0.2">
      <c r="A58" s="244">
        <v>4.9500000000000004E-3</v>
      </c>
      <c r="B58" s="244">
        <v>2.9884000000000001E-2</v>
      </c>
      <c r="C58" s="245">
        <v>5.5627000000000003E-2</v>
      </c>
      <c r="D58" s="246">
        <f>IF(CouplingMode="AC",B58-(A$11-A$10)*SUM(B$9:B58)/0.21,B58)</f>
        <v>2.9884000000000001E-2</v>
      </c>
      <c r="E58" s="247">
        <f t="shared" si="20"/>
        <v>5.8618431420304962</v>
      </c>
      <c r="F58" s="247">
        <f t="shared" si="21"/>
        <v>5.8618431420304962</v>
      </c>
      <c r="G58" s="248">
        <f t="shared" si="22"/>
        <v>1.5433991493810634E+18</v>
      </c>
      <c r="H58" s="249">
        <f t="shared" si="23"/>
        <v>8.8051251111188542E-4</v>
      </c>
      <c r="I58" s="248">
        <f>IF(MobilityModel=DK,CalcDeltaN(H58,SampleDoping,Thickness,AreaFrac),CalcDeltaNDL(H58,AreaFrac,Thickness,SampleType,SampleDoping,Temperature))</f>
        <v>94578344515022.641</v>
      </c>
      <c r="J58" s="248" t="str">
        <f t="shared" si="24"/>
        <v/>
      </c>
      <c r="K58" s="248">
        <f t="shared" si="25"/>
        <v>94578344515022.641</v>
      </c>
      <c r="L58" s="250">
        <f t="shared" si="33"/>
        <v>-5.1054414261249696E+16</v>
      </c>
      <c r="M58" s="196" t="str">
        <f t="shared" si="26"/>
        <v/>
      </c>
      <c r="N58" s="196" t="str">
        <f t="shared" si="27"/>
        <v/>
      </c>
      <c r="O58" s="250">
        <f t="shared" si="28"/>
        <v>94578344515022.641</v>
      </c>
      <c r="P58" s="248">
        <f t="shared" si="34"/>
        <v>2.142293511977571E-6</v>
      </c>
      <c r="Q58" s="250" t="str">
        <f t="shared" si="35"/>
        <v/>
      </c>
      <c r="R58" s="251" t="str">
        <f t="shared" si="36"/>
        <v/>
      </c>
      <c r="S58" s="252">
        <f>IF(AND(E58&gt;0.95*BiasLight,E58&lt;1.05*BiasLight),"",IF(AugerModel="Sinton",calclifetimeauger(Auger_Coefficient,I58,P58),calclifetimerichter(SampleType,I58,SampleDoping,P58)))</f>
        <v>466789.43039247324</v>
      </c>
      <c r="T58" s="201" t="str">
        <f t="shared" si="37"/>
        <v/>
      </c>
      <c r="U58" s="252">
        <f t="shared" si="29"/>
        <v>376105.33502574963</v>
      </c>
      <c r="V58" s="251" t="str">
        <f>IF(AugerModel="Sinton","",IF(SampleType="n-type",n_intr_boltzmann(SampleDoping,0,K58,Temperature+273.15),n_intr_boltzmann(0,SampleDoping,K58,Temperature+273.15)))</f>
        <v/>
      </c>
      <c r="W58" s="251" t="str">
        <f t="shared" si="13"/>
        <v/>
      </c>
      <c r="X58" s="246">
        <f>IF(AND(A58&gt;TimeofMaxCD,I58&gt;Traps),IF(AugerModel="Sinton",CalcImpliedV(SampleDoping,O58),CalcImpliedVRichter(O58,SampleDoping,V58)),"")</f>
        <v>0.58440898926122831</v>
      </c>
      <c r="Y58" s="253">
        <f t="shared" si="30"/>
        <v>5.8686298205692067</v>
      </c>
      <c r="Z58" s="200" t="str">
        <f t="shared" si="31"/>
        <v/>
      </c>
      <c r="AE58" s="251">
        <f t="shared" si="32"/>
        <v>1660.402073966206</v>
      </c>
    </row>
    <row r="59" spans="1:31" x14ac:dyDescent="0.2">
      <c r="A59" s="244">
        <v>5.0499999999999998E-3</v>
      </c>
      <c r="B59" s="244">
        <v>2.794E-2</v>
      </c>
      <c r="C59" s="245">
        <v>5.3162000000000001E-2</v>
      </c>
      <c r="D59" s="246">
        <f>IF(CouplingMode="AC",B59-(A$11-A$10)*SUM(B$9:B59)/0.21,B59)</f>
        <v>2.794E-2</v>
      </c>
      <c r="E59" s="247">
        <f t="shared" si="20"/>
        <v>5.6020872079498307</v>
      </c>
      <c r="F59" s="247">
        <f t="shared" si="21"/>
        <v>5.6020872079498307</v>
      </c>
      <c r="G59" s="248">
        <f t="shared" si="22"/>
        <v>1.4750064820931576E+18</v>
      </c>
      <c r="H59" s="249">
        <f t="shared" si="23"/>
        <v>8.2322316704855E-4</v>
      </c>
      <c r="I59" s="248">
        <f>IF(MobilityModel=DK,CalcDeltaN(H59,SampleDoping,Thickness,AreaFrac),CalcDeltaNDL(H59,AreaFrac,Thickness,SampleType,SampleDoping,Temperature))</f>
        <v>88418882825678.047</v>
      </c>
      <c r="J59" s="248" t="str">
        <f t="shared" si="24"/>
        <v/>
      </c>
      <c r="K59" s="248">
        <f t="shared" si="25"/>
        <v>88418882825678.047</v>
      </c>
      <c r="L59" s="250">
        <f t="shared" si="33"/>
        <v>-5.2337077622180496E+16</v>
      </c>
      <c r="M59" s="196" t="str">
        <f t="shared" si="26"/>
        <v/>
      </c>
      <c r="N59" s="196" t="str">
        <f t="shared" si="27"/>
        <v/>
      </c>
      <c r="O59" s="250">
        <f t="shared" si="28"/>
        <v>88418882825678.047</v>
      </c>
      <c r="P59" s="248">
        <f t="shared" si="34"/>
        <v>2.095463627403407E-6</v>
      </c>
      <c r="Q59" s="250" t="str">
        <f t="shared" si="35"/>
        <v/>
      </c>
      <c r="R59" s="251" t="str">
        <f t="shared" si="36"/>
        <v/>
      </c>
      <c r="S59" s="252">
        <f>IF(AND(E59&gt;0.95*BiasLight,E59&lt;1.05*BiasLight),"",IF(AugerModel="Sinton",calclifetimeauger(Auger_Coefficient,I59,P59),calclifetimerichter(SampleType,I59,SampleDoping,P59)))</f>
        <v>477221.34602012916</v>
      </c>
      <c r="T59" s="201" t="str">
        <f t="shared" si="37"/>
        <v/>
      </c>
      <c r="U59" s="252">
        <f t="shared" si="29"/>
        <v>376354.68807980366</v>
      </c>
      <c r="V59" s="251" t="str">
        <f>IF(AugerModel="Sinton","",IF(SampleType="n-type",n_intr_boltzmann(SampleDoping,0,K59,Temperature+273.15),n_intr_boltzmann(0,SampleDoping,K59,Temperature+273.15)))</f>
        <v/>
      </c>
      <c r="W59" s="251" t="str">
        <f t="shared" si="13"/>
        <v/>
      </c>
      <c r="X59" s="246">
        <f>IF(AND(A59&gt;TimeofMaxCD,I59&gt;Traps),IF(AugerModel="Sinton",CalcImpliedV(SampleDoping,O59),CalcImpliedVRichter(O59,SampleDoping,V59)),"")</f>
        <v>0.58265224608439914</v>
      </c>
      <c r="Y59" s="253">
        <f t="shared" si="30"/>
        <v>5.609044391312267</v>
      </c>
      <c r="Z59" s="200" t="str">
        <f t="shared" si="31"/>
        <v/>
      </c>
      <c r="AE59" s="251">
        <f t="shared" si="32"/>
        <v>1660.5119462819707</v>
      </c>
    </row>
    <row r="60" spans="1:31" x14ac:dyDescent="0.2">
      <c r="A60" s="244">
        <v>5.1500000000000001E-3</v>
      </c>
      <c r="B60" s="244">
        <v>2.6927E-2</v>
      </c>
      <c r="C60" s="245">
        <v>5.0805999999999997E-2</v>
      </c>
      <c r="D60" s="246">
        <f>IF(CouplingMode="AC",B60-(A$11-A$10)*SUM(B$9:B60)/0.21,B60)</f>
        <v>2.6927E-2</v>
      </c>
      <c r="E60" s="247">
        <f t="shared" si="20"/>
        <v>5.3538174389055921</v>
      </c>
      <c r="F60" s="247">
        <f t="shared" si="21"/>
        <v>5.3538174389055921</v>
      </c>
      <c r="G60" s="248">
        <f t="shared" si="22"/>
        <v>1.4096380747380644E+18</v>
      </c>
      <c r="H60" s="249">
        <f t="shared" si="23"/>
        <v>7.9337081975646914E-4</v>
      </c>
      <c r="I60" s="248">
        <f>IF(MobilityModel=DK,CalcDeltaN(H60,SampleDoping,Thickness,AreaFrac),CalcDeltaNDL(H60,AreaFrac,Thickness,SampleType,SampleDoping,Temperature))</f>
        <v>85209631425607.297</v>
      </c>
      <c r="J60" s="248" t="str">
        <f t="shared" si="24"/>
        <v/>
      </c>
      <c r="K60" s="248">
        <f t="shared" si="25"/>
        <v>85209631425607.297</v>
      </c>
      <c r="L60" s="250">
        <f t="shared" si="33"/>
        <v>-4.869354428634092E+16</v>
      </c>
      <c r="M60" s="196" t="str">
        <f t="shared" si="26"/>
        <v/>
      </c>
      <c r="N60" s="196" t="str">
        <f t="shared" si="27"/>
        <v/>
      </c>
      <c r="O60" s="250">
        <f t="shared" si="28"/>
        <v>85209631425607.297</v>
      </c>
      <c r="P60" s="248">
        <f t="shared" si="34"/>
        <v>2.1131209606635668E-6</v>
      </c>
      <c r="Q60" s="250" t="str">
        <f t="shared" si="35"/>
        <v/>
      </c>
      <c r="R60" s="251" t="str">
        <f t="shared" si="36"/>
        <v/>
      </c>
      <c r="S60" s="252">
        <f>IF(AND(E60&gt;0.95*BiasLight,E60&lt;1.05*BiasLight),"",IF(AugerModel="Sinton",calclifetimeauger(Auger_Coefficient,I60,P60),calclifetimerichter(SampleType,I60,SampleDoping,P60)))</f>
        <v>473233.66392480413</v>
      </c>
      <c r="T60" s="201" t="str">
        <f t="shared" si="37"/>
        <v/>
      </c>
      <c r="U60" s="252">
        <f t="shared" si="29"/>
        <v>376484.60797835898</v>
      </c>
      <c r="V60" s="251" t="str">
        <f>IF(AugerModel="Sinton","",IF(SampleType="n-type",n_intr_boltzmann(SampleDoping,0,K60,Temperature+273.15),n_intr_boltzmann(0,SampleDoping,K60,Temperature+273.15)))</f>
        <v/>
      </c>
      <c r="W60" s="251" t="str">
        <f t="shared" si="13"/>
        <v/>
      </c>
      <c r="X60" s="246">
        <f>IF(AND(A60&gt;TimeofMaxCD,I60&gt;Traps),IF(AugerModel="Sinton",CalcImpliedV(SampleDoping,O60),CalcImpliedVRichter(O60,SampleDoping,V60)),"")</f>
        <v>0.5816885355084801</v>
      </c>
      <c r="Y60" s="253">
        <f t="shared" si="30"/>
        <v>5.3602902862933011</v>
      </c>
      <c r="Z60" s="200" t="str">
        <f t="shared" si="31"/>
        <v/>
      </c>
      <c r="AE60" s="251">
        <f t="shared" si="32"/>
        <v>1660.5692066836305</v>
      </c>
    </row>
    <row r="61" spans="1:31" x14ac:dyDescent="0.2">
      <c r="A61" s="244">
        <v>5.2500000000000003E-3</v>
      </c>
      <c r="B61" s="244">
        <v>2.4915E-2</v>
      </c>
      <c r="C61" s="245">
        <v>4.8571999999999997E-2</v>
      </c>
      <c r="D61" s="246">
        <f>IF(CouplingMode="AC",B61-(A$11-A$10)*SUM(B$9:B61)/0.21,B61)</f>
        <v>2.4915E-2</v>
      </c>
      <c r="E61" s="247">
        <f t="shared" si="20"/>
        <v>5.1184037444892816</v>
      </c>
      <c r="F61" s="247">
        <f t="shared" si="21"/>
        <v>5.1184037444892816</v>
      </c>
      <c r="G61" s="248">
        <f t="shared" si="22"/>
        <v>1.3476546188674028E+18</v>
      </c>
      <c r="H61" s="249">
        <f t="shared" si="23"/>
        <v>7.3407988865982488E-4</v>
      </c>
      <c r="I61" s="248">
        <f>IF(MobilityModel=DK,CalcDeltaN(H61,SampleDoping,Thickness,AreaFrac),CalcDeltaNDL(H61,AreaFrac,Thickness,SampleType,SampleDoping,Temperature))</f>
        <v>78836265420938.016</v>
      </c>
      <c r="J61" s="248" t="str">
        <f t="shared" si="24"/>
        <v/>
      </c>
      <c r="K61" s="248">
        <f t="shared" si="25"/>
        <v>78836265420938.016</v>
      </c>
      <c r="L61" s="250">
        <f t="shared" si="33"/>
        <v>-4.1273233462482552E+16</v>
      </c>
      <c r="M61" s="196" t="str">
        <f t="shared" si="26"/>
        <v/>
      </c>
      <c r="N61" s="196" t="str">
        <f t="shared" si="27"/>
        <v/>
      </c>
      <c r="O61" s="250">
        <f t="shared" si="28"/>
        <v>78836265420938.016</v>
      </c>
      <c r="P61" s="248">
        <f t="shared" si="34"/>
        <v>2.0452679287547773E-6</v>
      </c>
      <c r="Q61" s="250" t="str">
        <f t="shared" si="35"/>
        <v/>
      </c>
      <c r="R61" s="251" t="str">
        <f t="shared" si="36"/>
        <v/>
      </c>
      <c r="S61" s="252">
        <f>IF(AND(E61&gt;0.95*BiasLight,E61&lt;1.05*BiasLight),"",IF(AugerModel="Sinton",calclifetimeauger(Auger_Coefficient,I61,P61),calclifetimerichter(SampleType,I61,SampleDoping,P61)))</f>
        <v>488933.486336665</v>
      </c>
      <c r="T61" s="201" t="str">
        <f t="shared" si="37"/>
        <v/>
      </c>
      <c r="U61" s="252">
        <f t="shared" si="29"/>
        <v>376742.6205057553</v>
      </c>
      <c r="V61" s="251" t="str">
        <f>IF(AugerModel="Sinton","",IF(SampleType="n-type",n_intr_boltzmann(SampleDoping,0,K61,Temperature+273.15),n_intr_boltzmann(0,SampleDoping,K61,Temperature+273.15)))</f>
        <v/>
      </c>
      <c r="W61" s="251" t="str">
        <f t="shared" si="13"/>
        <v/>
      </c>
      <c r="X61" s="246">
        <f>IF(AND(A61&gt;TimeofMaxCD,I61&gt;Traps),IF(AugerModel="Sinton",CalcImpliedV(SampleDoping,O61),CalcImpliedVRichter(O61,SampleDoping,V61)),"")</f>
        <v>0.57966368639258015</v>
      </c>
      <c r="Y61" s="253">
        <f t="shared" si="30"/>
        <v>5.1238902077425807</v>
      </c>
      <c r="Z61" s="200" t="str">
        <f t="shared" si="31"/>
        <v/>
      </c>
      <c r="AE61" s="251">
        <f t="shared" si="32"/>
        <v>1660.6829503171102</v>
      </c>
    </row>
    <row r="62" spans="1:31" x14ac:dyDescent="0.2">
      <c r="A62" s="244">
        <v>5.3499999999999997E-3</v>
      </c>
      <c r="B62" s="244">
        <v>2.3710999999999999E-2</v>
      </c>
      <c r="C62" s="245">
        <v>4.6434999999999997E-2</v>
      </c>
      <c r="D62" s="246">
        <f>IF(CouplingMode="AC",B62-(A$11-A$10)*SUM(B$9:B62)/0.21,B62)</f>
        <v>2.3710999999999999E-2</v>
      </c>
      <c r="E62" s="247">
        <f t="shared" si="20"/>
        <v>4.8932116831787811</v>
      </c>
      <c r="F62" s="247">
        <f t="shared" si="21"/>
        <v>4.8932116831787811</v>
      </c>
      <c r="G62" s="248">
        <f t="shared" si="22"/>
        <v>1.2883624768819039E+18</v>
      </c>
      <c r="H62" s="249">
        <f t="shared" si="23"/>
        <v>6.9860038932644669E-4</v>
      </c>
      <c r="I62" s="248">
        <f>IF(MobilityModel=DK,CalcDeltaN(H62,SampleDoping,Thickness,AreaFrac),CalcDeltaNDL(H62,AreaFrac,Thickness,SampleType,SampleDoping,Temperature))</f>
        <v>75022881074222.219</v>
      </c>
      <c r="J62" s="248" t="str">
        <f t="shared" si="24"/>
        <v/>
      </c>
      <c r="K62" s="248">
        <f t="shared" si="25"/>
        <v>75022881074222.219</v>
      </c>
      <c r="L62" s="250">
        <f t="shared" si="33"/>
        <v>-4.1123113316975744E+16</v>
      </c>
      <c r="M62" s="196" t="str">
        <f t="shared" si="26"/>
        <v/>
      </c>
      <c r="N62" s="196" t="str">
        <f t="shared" si="27"/>
        <v/>
      </c>
      <c r="O62" s="250">
        <f t="shared" si="28"/>
        <v>75022881074222.219</v>
      </c>
      <c r="P62" s="248">
        <f t="shared" si="34"/>
        <v>2.0358173375232294E-6</v>
      </c>
      <c r="Q62" s="250" t="str">
        <f t="shared" si="35"/>
        <v/>
      </c>
      <c r="R62" s="251" t="str">
        <f t="shared" si="36"/>
        <v/>
      </c>
      <c r="S62" s="252">
        <f>IF(AND(E62&gt;0.95*BiasLight,E62&lt;1.05*BiasLight),"",IF(AugerModel="Sinton",calclifetimeauger(Auger_Coefficient,I62,P62),calclifetimerichter(SampleType,I62,SampleDoping,P62)))</f>
        <v>491203.19517248665</v>
      </c>
      <c r="T62" s="201" t="str">
        <f t="shared" si="37"/>
        <v/>
      </c>
      <c r="U62" s="252">
        <f t="shared" si="29"/>
        <v>376896.99747586955</v>
      </c>
      <c r="V62" s="251" t="str">
        <f>IF(AugerModel="Sinton","",IF(SampleType="n-type",n_intr_boltzmann(SampleDoping,0,K62,Temperature+273.15),n_intr_boltzmann(0,SampleDoping,K62,Temperature+273.15)))</f>
        <v/>
      </c>
      <c r="W62" s="251" t="str">
        <f t="shared" si="13"/>
        <v/>
      </c>
      <c r="X62" s="246">
        <f>IF(AND(A62&gt;TimeofMaxCD,I62&gt;Traps),IF(AugerModel="Sinton",CalcImpliedV(SampleDoping,O62),CalcImpliedVRichter(O62,SampleDoping,V62)),"")</f>
        <v>0.57837340488671107</v>
      </c>
      <c r="Y62" s="253">
        <f t="shared" si="30"/>
        <v>4.8986781909162938</v>
      </c>
      <c r="Z62" s="200" t="str">
        <f t="shared" si="31"/>
        <v/>
      </c>
      <c r="AE62" s="251">
        <f t="shared" si="32"/>
        <v>1660.7510246247041</v>
      </c>
    </row>
    <row r="63" spans="1:31" x14ac:dyDescent="0.2">
      <c r="A63" s="244">
        <v>5.45E-3</v>
      </c>
      <c r="B63" s="244">
        <v>2.3033000000000001E-2</v>
      </c>
      <c r="C63" s="245">
        <v>4.4408999999999997E-2</v>
      </c>
      <c r="D63" s="246">
        <f>IF(CouplingMode="AC",B63-(A$11-A$10)*SUM(B$9:B63)/0.21,B63)</f>
        <v>2.3033000000000001E-2</v>
      </c>
      <c r="E63" s="247">
        <f t="shared" si="20"/>
        <v>4.6797165422264779</v>
      </c>
      <c r="F63" s="247">
        <f t="shared" si="21"/>
        <v>4.6797165422264779</v>
      </c>
      <c r="G63" s="248">
        <f t="shared" si="22"/>
        <v>1.2321500858371589E+18</v>
      </c>
      <c r="H63" s="249">
        <f t="shared" si="23"/>
        <v>6.7862132026307032E-4</v>
      </c>
      <c r="I63" s="248">
        <f>IF(MobilityModel=DK,CalcDeltaN(H63,SampleDoping,Thickness,AreaFrac),CalcDeltaNDL(H63,AreaFrac,Thickness,SampleType,SampleDoping,Temperature))</f>
        <v>72875641270129.312</v>
      </c>
      <c r="J63" s="248" t="str">
        <f t="shared" si="24"/>
        <v/>
      </c>
      <c r="K63" s="248">
        <f t="shared" si="25"/>
        <v>72875641270129.312</v>
      </c>
      <c r="L63" s="250">
        <f t="shared" si="33"/>
        <v>-3.6446965522748032E+16</v>
      </c>
      <c r="M63" s="196" t="str">
        <f t="shared" si="26"/>
        <v/>
      </c>
      <c r="N63" s="196" t="str">
        <f t="shared" si="27"/>
        <v/>
      </c>
      <c r="O63" s="250">
        <f t="shared" si="28"/>
        <v>72875641270129.312</v>
      </c>
      <c r="P63" s="248">
        <f t="shared" si="34"/>
        <v>2.0679376010898707E-6</v>
      </c>
      <c r="Q63" s="250" t="str">
        <f t="shared" si="35"/>
        <v/>
      </c>
      <c r="R63" s="251" t="str">
        <f t="shared" si="36"/>
        <v/>
      </c>
      <c r="S63" s="252">
        <f>IF(AND(E63&gt;0.95*BiasLight,E63&lt;1.05*BiasLight),"",IF(AugerModel="Sinton",calclifetimeauger(Auger_Coefficient,I63,P63),calclifetimerichter(SampleType,I63,SampleDoping,P63)))</f>
        <v>483573.57651506289</v>
      </c>
      <c r="T63" s="201" t="str">
        <f t="shared" si="37"/>
        <v/>
      </c>
      <c r="U63" s="252">
        <f t="shared" si="29"/>
        <v>376983.92403373145</v>
      </c>
      <c r="V63" s="251" t="str">
        <f>IF(AugerModel="Sinton","",IF(SampleType="n-type",n_intr_boltzmann(SampleDoping,0,K63,Temperature+273.15),n_intr_boltzmann(0,SampleDoping,K63,Temperature+273.15)))</f>
        <v/>
      </c>
      <c r="W63" s="251" t="str">
        <f t="shared" si="13"/>
        <v/>
      </c>
      <c r="X63" s="246">
        <f>IF(AND(A63&gt;TimeofMaxCD,I63&gt;Traps),IF(AugerModel="Sinton",CalcImpliedV(SampleDoping,O63),CalcImpliedVRichter(O63,SampleDoping,V63)),"")</f>
        <v>0.57761806439224006</v>
      </c>
      <c r="Y63" s="253">
        <f t="shared" si="30"/>
        <v>4.6845614482408457</v>
      </c>
      <c r="Z63" s="200" t="str">
        <f t="shared" si="31"/>
        <v/>
      </c>
      <c r="AE63" s="251">
        <f t="shared" si="32"/>
        <v>1660.7893618058501</v>
      </c>
    </row>
    <row r="64" spans="1:31" x14ac:dyDescent="0.2">
      <c r="A64" s="244">
        <v>5.5500000000000002E-3</v>
      </c>
      <c r="B64" s="244">
        <v>2.1375999999999999E-2</v>
      </c>
      <c r="C64" s="245">
        <v>4.2444000000000003E-2</v>
      </c>
      <c r="D64" s="246">
        <f>IF(CouplingMode="AC",B64-(A$11-A$10)*SUM(B$9:B64)/0.21,B64)</f>
        <v>2.1375999999999999E-2</v>
      </c>
      <c r="E64" s="247">
        <f t="shared" si="20"/>
        <v>4.4726494385881388</v>
      </c>
      <c r="F64" s="247">
        <f t="shared" si="21"/>
        <v>4.4726494385881388</v>
      </c>
      <c r="G64" s="248">
        <f t="shared" si="22"/>
        <v>1.1776301705346299E+18</v>
      </c>
      <c r="H64" s="249">
        <f t="shared" si="23"/>
        <v>6.2979417748763172E-4</v>
      </c>
      <c r="I64" s="248">
        <f>IF(MobilityModel=DK,CalcDeltaN(H64,SampleDoping,Thickness,AreaFrac),CalcDeltaNDL(H64,AreaFrac,Thickness,SampleType,SampleDoping,Temperature))</f>
        <v>67628386842523.773</v>
      </c>
      <c r="J64" s="248" t="str">
        <f t="shared" si="24"/>
        <v/>
      </c>
      <c r="K64" s="248">
        <f t="shared" si="25"/>
        <v>67628386842523.773</v>
      </c>
      <c r="L64" s="250">
        <f t="shared" si="33"/>
        <v>-3.7526591655141824E+16</v>
      </c>
      <c r="M64" s="196" t="str">
        <f t="shared" si="26"/>
        <v/>
      </c>
      <c r="N64" s="196" t="str">
        <f t="shared" si="27"/>
        <v/>
      </c>
      <c r="O64" s="250">
        <f t="shared" si="28"/>
        <v>67628386842523.773</v>
      </c>
      <c r="P64" s="248">
        <f t="shared" si="34"/>
        <v>2.007724149818206E-6</v>
      </c>
      <c r="Q64" s="250" t="str">
        <f t="shared" si="35"/>
        <v/>
      </c>
      <c r="R64" s="251" t="str">
        <f t="shared" si="36"/>
        <v/>
      </c>
      <c r="S64" s="252">
        <f>IF(AND(E64&gt;0.95*BiasLight,E64&lt;1.05*BiasLight),"",IF(AugerModel="Sinton",calclifetimeauger(Auger_Coefficient,I64,P64),calclifetimerichter(SampleType,I64,SampleDoping,P64)))</f>
        <v>498076.38407276041</v>
      </c>
      <c r="T64" s="201" t="str">
        <f t="shared" si="37"/>
        <v/>
      </c>
      <c r="U64" s="252">
        <f t="shared" si="29"/>
        <v>377196.34826541157</v>
      </c>
      <c r="V64" s="251" t="str">
        <f>IF(AugerModel="Sinton","",IF(SampleType="n-type",n_intr_boltzmann(SampleDoping,0,K64,Temperature+273.15),n_intr_boltzmann(0,SampleDoping,K64,Temperature+273.15)))</f>
        <v/>
      </c>
      <c r="W64" s="251" t="str">
        <f t="shared" si="13"/>
        <v/>
      </c>
      <c r="X64" s="246">
        <f>IF(AND(A64&gt;TimeofMaxCD,I64&gt;Traps),IF(AugerModel="Sinton",CalcImpliedV(SampleDoping,O64),CalcImpliedVRichter(O64,SampleDoping,V64)),"")</f>
        <v>0.57567550804153311</v>
      </c>
      <c r="Y64" s="253">
        <f t="shared" si="30"/>
        <v>4.4776378596267916</v>
      </c>
      <c r="Z64" s="200" t="str">
        <f t="shared" si="31"/>
        <v/>
      </c>
      <c r="AE64" s="251">
        <f t="shared" si="32"/>
        <v>1660.883065101792</v>
      </c>
    </row>
    <row r="65" spans="1:31" x14ac:dyDescent="0.2">
      <c r="A65" s="244">
        <v>5.6499999999999996E-3</v>
      </c>
      <c r="B65" s="244">
        <v>2.0327999999999999E-2</v>
      </c>
      <c r="C65" s="245">
        <v>4.0562000000000001E-2</v>
      </c>
      <c r="D65" s="246">
        <f>IF(CouplingMode="AC",B65-(A$11-A$10)*SUM(B$9:B65)/0.21,B65)</f>
        <v>2.0327999999999999E-2</v>
      </c>
      <c r="E65" s="247">
        <f t="shared" si="20"/>
        <v>4.274328680803225</v>
      </c>
      <c r="F65" s="247">
        <f t="shared" si="21"/>
        <v>4.274328680803225</v>
      </c>
      <c r="G65" s="248">
        <f t="shared" si="22"/>
        <v>1.1254131320616731E+18</v>
      </c>
      <c r="H65" s="249">
        <f t="shared" si="23"/>
        <v>5.9891311285725085E-4</v>
      </c>
      <c r="I65" s="248">
        <f>IF(MobilityModel=DK,CalcDeltaN(H65,SampleDoping,Thickness,AreaFrac),CalcDeltaNDL(H65,AreaFrac,Thickness,SampleType,SampleDoping,Temperature))</f>
        <v>64310029775413.234</v>
      </c>
      <c r="J65" s="248" t="str">
        <f t="shared" si="24"/>
        <v/>
      </c>
      <c r="K65" s="248">
        <f t="shared" si="25"/>
        <v>64310029775413.234</v>
      </c>
      <c r="L65" s="250">
        <f t="shared" si="33"/>
        <v>-3.684947637048116E+16</v>
      </c>
      <c r="M65" s="196" t="str">
        <f t="shared" si="26"/>
        <v/>
      </c>
      <c r="N65" s="196" t="str">
        <f t="shared" si="27"/>
        <v/>
      </c>
      <c r="O65" s="250">
        <f t="shared" si="28"/>
        <v>64310029775413.234</v>
      </c>
      <c r="P65" s="248">
        <f t="shared" si="34"/>
        <v>1.997732600659815E-6</v>
      </c>
      <c r="Q65" s="250" t="str">
        <f t="shared" si="35"/>
        <v/>
      </c>
      <c r="R65" s="251" t="str">
        <f t="shared" si="36"/>
        <v/>
      </c>
      <c r="S65" s="252">
        <f>IF(AND(E65&gt;0.95*BiasLight,E65&lt;1.05*BiasLight),"",IF(AugerModel="Sinton",calclifetimeauger(Auger_Coefficient,I65,P65),calclifetimerichter(SampleType,I65,SampleDoping,P65)))</f>
        <v>500567.48633650731</v>
      </c>
      <c r="T65" s="201" t="str">
        <f t="shared" si="37"/>
        <v/>
      </c>
      <c r="U65" s="252">
        <f t="shared" si="29"/>
        <v>377330.68508100655</v>
      </c>
      <c r="V65" s="251" t="str">
        <f>IF(AugerModel="Sinton","",IF(SampleType="n-type",n_intr_boltzmann(SampleDoping,0,K65,Temperature+273.15),n_intr_boltzmann(0,SampleDoping,K65,Temperature+273.15)))</f>
        <v/>
      </c>
      <c r="W65" s="251" t="str">
        <f t="shared" si="13"/>
        <v/>
      </c>
      <c r="X65" s="246">
        <f>IF(AND(A65&gt;TimeofMaxCD,I65&gt;Traps),IF(AugerModel="Sinton",CalcImpliedV(SampleDoping,O65),CalcImpliedVRichter(O65,SampleDoping,V65)),"")</f>
        <v>0.57436853950265676</v>
      </c>
      <c r="Y65" s="253">
        <f t="shared" si="30"/>
        <v>4.2792270927048204</v>
      </c>
      <c r="Z65" s="200" t="str">
        <f t="shared" si="31"/>
        <v/>
      </c>
      <c r="AE65" s="251">
        <f t="shared" si="32"/>
        <v>1660.9423360904145</v>
      </c>
    </row>
    <row r="66" spans="1:31" x14ac:dyDescent="0.2">
      <c r="A66" s="244">
        <v>5.7499999999999999E-3</v>
      </c>
      <c r="B66" s="244">
        <v>1.9137999999999999E-2</v>
      </c>
      <c r="C66" s="245">
        <v>3.8814000000000001E-2</v>
      </c>
      <c r="D66" s="246">
        <f>IF(CouplingMode="AC",B66-(A$11-A$10)*SUM(B$9:B66)/0.21,B66)</f>
        <v>1.9137999999999999E-2</v>
      </c>
      <c r="E66" s="247">
        <f t="shared" si="20"/>
        <v>4.0901285295768544</v>
      </c>
      <c r="F66" s="247">
        <f t="shared" si="21"/>
        <v>4.0901285295768544</v>
      </c>
      <c r="G66" s="248">
        <f t="shared" si="22"/>
        <v>1.0769139911207973E+18</v>
      </c>
      <c r="H66" s="249">
        <f t="shared" si="23"/>
        <v>5.638483043145133E-4</v>
      </c>
      <c r="I66" s="248">
        <f>IF(MobilityModel=DK,CalcDeltaN(H66,SampleDoping,Thickness,AreaFrac),CalcDeltaNDL(H66,AreaFrac,Thickness,SampleType,SampleDoping,Temperature))</f>
        <v>60542390994009.344</v>
      </c>
      <c r="J66" s="248" t="str">
        <f t="shared" si="24"/>
        <v/>
      </c>
      <c r="K66" s="248">
        <f t="shared" si="25"/>
        <v>60542390994009.344</v>
      </c>
      <c r="L66" s="250">
        <f t="shared" si="33"/>
        <v>-2.908631062423766E+16</v>
      </c>
      <c r="M66" s="196" t="str">
        <f t="shared" si="26"/>
        <v/>
      </c>
      <c r="N66" s="196" t="str">
        <f t="shared" si="27"/>
        <v/>
      </c>
      <c r="O66" s="250">
        <f t="shared" si="28"/>
        <v>60542390994009.344</v>
      </c>
      <c r="P66" s="248">
        <f t="shared" si="34"/>
        <v>1.9657860247356532E-6</v>
      </c>
      <c r="Q66" s="250" t="str">
        <f t="shared" si="35"/>
        <v/>
      </c>
      <c r="R66" s="251" t="str">
        <f t="shared" si="36"/>
        <v/>
      </c>
      <c r="S66" s="252">
        <f>IF(AND(E66&gt;0.95*BiasLight,E66&lt;1.05*BiasLight),"",IF(AugerModel="Sinton",calclifetimeauger(Auger_Coefficient,I66,P66),calclifetimerichter(SampleType,I66,SampleDoping,P66)))</f>
        <v>508702.35898313735</v>
      </c>
      <c r="T66" s="201" t="str">
        <f t="shared" si="37"/>
        <v/>
      </c>
      <c r="U66" s="252">
        <f t="shared" si="29"/>
        <v>377483.21013661992</v>
      </c>
      <c r="V66" s="251" t="str">
        <f>IF(AugerModel="Sinton","",IF(SampleType="n-type",n_intr_boltzmann(SampleDoping,0,K66,Temperature+273.15),n_intr_boltzmann(0,SampleDoping,K66,Temperature+273.15)))</f>
        <v/>
      </c>
      <c r="W66" s="251" t="str">
        <f t="shared" si="13"/>
        <v/>
      </c>
      <c r="X66" s="246">
        <f>IF(AND(A66&gt;TimeofMaxCD,I66&gt;Traps),IF(AugerModel="Sinton",CalcImpliedV(SampleDoping,O66),CalcImpliedVRichter(O66,SampleDoping,V66)),"")</f>
        <v>0.57280117411216303</v>
      </c>
      <c r="Y66" s="253">
        <f t="shared" si="30"/>
        <v>4.09399498153679</v>
      </c>
      <c r="Z66" s="200" t="str">
        <f t="shared" si="31"/>
        <v/>
      </c>
      <c r="AE66" s="251">
        <f t="shared" si="32"/>
        <v>1661.0096442971412</v>
      </c>
    </row>
    <row r="67" spans="1:31" x14ac:dyDescent="0.2">
      <c r="A67" s="244">
        <v>5.8500000000000002E-3</v>
      </c>
      <c r="B67" s="244">
        <v>1.8332999999999999E-2</v>
      </c>
      <c r="C67" s="245">
        <v>3.7142000000000001E-2</v>
      </c>
      <c r="D67" s="246">
        <f>IF(CouplingMode="AC",B67-(A$11-A$10)*SUM(B$9:B67)/0.21,B67)</f>
        <v>1.8332999999999999E-2</v>
      </c>
      <c r="E67" s="247">
        <f t="shared" si="20"/>
        <v>3.9139370805777176</v>
      </c>
      <c r="F67" s="247">
        <f t="shared" si="21"/>
        <v>3.9139370805777176</v>
      </c>
      <c r="G67" s="248">
        <f t="shared" si="22"/>
        <v>1.0305235084816987E+18</v>
      </c>
      <c r="H67" s="249">
        <f t="shared" si="23"/>
        <v>5.401283077181851E-4</v>
      </c>
      <c r="I67" s="248">
        <f>IF(MobilityModel=DK,CalcDeltaN(H67,SampleDoping,Thickness,AreaFrac),CalcDeltaNDL(H67,AreaFrac,Thickness,SampleType,SampleDoping,Temperature))</f>
        <v>57993901009145.945</v>
      </c>
      <c r="J67" s="248" t="str">
        <f t="shared" si="24"/>
        <v/>
      </c>
      <c r="K67" s="248">
        <f t="shared" si="25"/>
        <v>57993901009145.945</v>
      </c>
      <c r="L67" s="250">
        <f t="shared" si="33"/>
        <v>-2.683943280762678E+16</v>
      </c>
      <c r="M67" s="196" t="str">
        <f t="shared" si="26"/>
        <v/>
      </c>
      <c r="N67" s="196" t="str">
        <f t="shared" si="27"/>
        <v/>
      </c>
      <c r="O67" s="250">
        <f t="shared" si="28"/>
        <v>57993901009145.945</v>
      </c>
      <c r="P67" s="248">
        <f t="shared" si="34"/>
        <v>1.9678716100161008E-6</v>
      </c>
      <c r="Q67" s="250" t="str">
        <f t="shared" si="35"/>
        <v/>
      </c>
      <c r="R67" s="251" t="str">
        <f t="shared" si="36"/>
        <v/>
      </c>
      <c r="S67" s="252">
        <f>IF(AND(E67&gt;0.95*BiasLight,E67&lt;1.05*BiasLight),"",IF(AugerModel="Sinton",calclifetimeauger(Auger_Coefficient,I67,P67),calclifetimerichter(SampleType,I67,SampleDoping,P67)))</f>
        <v>508163.22768387408</v>
      </c>
      <c r="T67" s="201" t="str">
        <f t="shared" si="37"/>
        <v/>
      </c>
      <c r="U67" s="252">
        <f t="shared" si="29"/>
        <v>377586.38047730917</v>
      </c>
      <c r="V67" s="251" t="str">
        <f>IF(AugerModel="Sinton","",IF(SampleType="n-type",n_intr_boltzmann(SampleDoping,0,K67,Temperature+273.15),n_intr_boltzmann(0,SampleDoping,K67,Temperature+273.15)))</f>
        <v/>
      </c>
      <c r="W67" s="251" t="str">
        <f t="shared" si="13"/>
        <v/>
      </c>
      <c r="X67" s="246">
        <f>IF(AND(A67&gt;TimeofMaxCD,I67&gt;Traps),IF(AugerModel="Sinton",CalcImpliedV(SampleDoping,O67),CalcImpliedVRichter(O67,SampleDoping,V67)),"")</f>
        <v>0.57168524289573353</v>
      </c>
      <c r="Y67" s="253">
        <f t="shared" si="30"/>
        <v>3.9175048543983042</v>
      </c>
      <c r="Z67" s="200" t="str">
        <f t="shared" si="31"/>
        <v/>
      </c>
      <c r="AE67" s="251">
        <f t="shared" si="32"/>
        <v>1661.0551800750143</v>
      </c>
    </row>
    <row r="68" spans="1:31" x14ac:dyDescent="0.2">
      <c r="A68" s="244">
        <v>5.9500000000000004E-3</v>
      </c>
      <c r="B68" s="244">
        <v>1.7780000000000001E-2</v>
      </c>
      <c r="C68" s="245">
        <v>3.5524E-2</v>
      </c>
      <c r="D68" s="246">
        <f>IF(CouplingMode="AC",B68-(A$11-A$10)*SUM(B$9:B68)/0.21,B68)</f>
        <v>1.7780000000000001E-2</v>
      </c>
      <c r="E68" s="247">
        <f t="shared" si="20"/>
        <v>3.7434360252663517</v>
      </c>
      <c r="F68" s="247">
        <f t="shared" si="21"/>
        <v>3.7434360252663517</v>
      </c>
      <c r="G68" s="248">
        <f t="shared" si="22"/>
        <v>9.856312830570208E+17</v>
      </c>
      <c r="H68" s="249">
        <f t="shared" si="23"/>
        <v>5.2383384868901622E-4</v>
      </c>
      <c r="I68" s="248">
        <f>IF(MobilityModel=DK,CalcDeltaN(H68,SampleDoping,Thickness,AreaFrac),CalcDeltaNDL(H68,AreaFrac,Thickness,SampleType,SampleDoping,Temperature))</f>
        <v>56243295913538.57</v>
      </c>
      <c r="J68" s="248" t="str">
        <f t="shared" si="24"/>
        <v/>
      </c>
      <c r="K68" s="248">
        <f t="shared" si="25"/>
        <v>56243295913538.57</v>
      </c>
      <c r="L68" s="250">
        <f t="shared" si="33"/>
        <v>-2.4915832311663508E+16</v>
      </c>
      <c r="M68" s="196" t="str">
        <f t="shared" si="26"/>
        <v/>
      </c>
      <c r="N68" s="196" t="str">
        <f t="shared" si="27"/>
        <v/>
      </c>
      <c r="O68" s="250">
        <f t="shared" si="28"/>
        <v>56243295913538.57</v>
      </c>
      <c r="P68" s="248">
        <f t="shared" si="34"/>
        <v>1.9954472354702718E-6</v>
      </c>
      <c r="Q68" s="250" t="str">
        <f t="shared" si="35"/>
        <v/>
      </c>
      <c r="R68" s="251" t="str">
        <f t="shared" si="36"/>
        <v/>
      </c>
      <c r="S68" s="252">
        <f>IF(AND(E68&gt;0.95*BiasLight,E68&lt;1.05*BiasLight),"",IF(AugerModel="Sinton",calclifetimeauger(Auger_Coefficient,I68,P68),calclifetimerichter(SampleType,I68,SampleDoping,P68)))</f>
        <v>501140.78275091597</v>
      </c>
      <c r="T68" s="201" t="str">
        <f t="shared" si="37"/>
        <v/>
      </c>
      <c r="U68" s="252">
        <f t="shared" si="29"/>
        <v>377657.25010018342</v>
      </c>
      <c r="V68" s="251" t="str">
        <f>IF(AugerModel="Sinton","",IF(SampleType="n-type",n_intr_boltzmann(SampleDoping,0,K68,Temperature+273.15),n_intr_boltzmann(0,SampleDoping,K68,Temperature+273.15)))</f>
        <v/>
      </c>
      <c r="W68" s="251" t="str">
        <f t="shared" si="13"/>
        <v/>
      </c>
      <c r="X68" s="246">
        <f>IF(AND(A68&gt;TimeofMaxCD,I68&gt;Traps),IF(AugerModel="Sinton",CalcImpliedV(SampleDoping,O68),CalcImpliedVRichter(O68,SampleDoping,V68)),"")</f>
        <v>0.57089018533970926</v>
      </c>
      <c r="Y68" s="253">
        <f t="shared" si="30"/>
        <v>3.7467480942983928</v>
      </c>
      <c r="Z68" s="200" t="str">
        <f t="shared" si="31"/>
        <v/>
      </c>
      <c r="AE68" s="251">
        <f t="shared" si="32"/>
        <v>1661.0864629314453</v>
      </c>
    </row>
    <row r="69" spans="1:31" x14ac:dyDescent="0.2">
      <c r="A69" s="244">
        <v>6.0499999999999998E-3</v>
      </c>
      <c r="B69" s="244">
        <v>1.6768000000000002E-2</v>
      </c>
      <c r="C69" s="245">
        <v>3.4000000000000002E-2</v>
      </c>
      <c r="D69" s="246">
        <f>IF(CouplingMode="AC",B69-(A$11-A$10)*SUM(B$9:B69)/0.21,B69)</f>
        <v>1.6768000000000002E-2</v>
      </c>
      <c r="E69" s="247">
        <f t="shared" si="20"/>
        <v>3.5828404700781435</v>
      </c>
      <c r="F69" s="247">
        <f t="shared" si="21"/>
        <v>3.5828404700781435</v>
      </c>
      <c r="G69" s="248">
        <f t="shared" si="22"/>
        <v>9.433471350055936E+17</v>
      </c>
      <c r="H69" s="249">
        <f t="shared" si="23"/>
        <v>4.9401500472062015E-4</v>
      </c>
      <c r="I69" s="248">
        <f>IF(MobilityModel=DK,CalcDeltaN(H69,SampleDoping,Thickness,AreaFrac),CalcDeltaNDL(H69,AreaFrac,Thickness,SampleType,SampleDoping,Temperature))</f>
        <v>53039860911835.219</v>
      </c>
      <c r="J69" s="248" t="str">
        <f t="shared" si="24"/>
        <v/>
      </c>
      <c r="K69" s="248">
        <f t="shared" si="25"/>
        <v>53039860911835.219</v>
      </c>
      <c r="L69" s="250">
        <f t="shared" si="33"/>
        <v>-2.7984283947991196E+16</v>
      </c>
      <c r="M69" s="196" t="str">
        <f t="shared" si="26"/>
        <v/>
      </c>
      <c r="N69" s="196" t="str">
        <f t="shared" si="27"/>
        <v/>
      </c>
      <c r="O69" s="250">
        <f t="shared" si="28"/>
        <v>53039860911835.219</v>
      </c>
      <c r="P69" s="248">
        <f t="shared" si="34"/>
        <v>1.9658401674932891E-6</v>
      </c>
      <c r="Q69" s="250" t="str">
        <f t="shared" si="35"/>
        <v/>
      </c>
      <c r="R69" s="251" t="str">
        <f t="shared" si="36"/>
        <v/>
      </c>
      <c r="S69" s="252">
        <f>IF(AND(E69&gt;0.95*BiasLight,E69&lt;1.05*BiasLight),"",IF(AugerModel="Sinton",calclifetimeauger(Auger_Coefficient,I69,P69),calclifetimerichter(SampleType,I69,SampleDoping,P69)))</f>
        <v>508688.34982385492</v>
      </c>
      <c r="T69" s="201" t="str">
        <f t="shared" si="37"/>
        <v/>
      </c>
      <c r="U69" s="252">
        <f t="shared" si="29"/>
        <v>377786.93453389296</v>
      </c>
      <c r="V69" s="251" t="str">
        <f>IF(AugerModel="Sinton","",IF(SampleType="n-type",n_intr_boltzmann(SampleDoping,0,K69,Temperature+273.15),n_intr_boltzmann(0,SampleDoping,K69,Temperature+273.15)))</f>
        <v/>
      </c>
      <c r="W69" s="251" t="str">
        <f t="shared" si="13"/>
        <v/>
      </c>
      <c r="X69" s="246">
        <f>IF(AND(A69&gt;TimeofMaxCD,I69&gt;Traps),IF(AugerModel="Sinton",CalcImpliedV(SampleDoping,O69),CalcImpliedVRichter(O69,SampleDoping,V69)),"")</f>
        <v>0.56936966922128973</v>
      </c>
      <c r="Y69" s="253">
        <f t="shared" si="30"/>
        <v>3.5865604293028084</v>
      </c>
      <c r="Z69" s="200" t="str">
        <f t="shared" si="31"/>
        <v/>
      </c>
      <c r="AE69" s="251">
        <f t="shared" si="32"/>
        <v>1661.1437148308146</v>
      </c>
    </row>
    <row r="70" spans="1:31" x14ac:dyDescent="0.2">
      <c r="A70" s="244">
        <v>6.1500000000000001E-3</v>
      </c>
      <c r="B70" s="244">
        <v>1.5984999999999999E-2</v>
      </c>
      <c r="C70" s="245">
        <v>3.2597000000000001E-2</v>
      </c>
      <c r="D70" s="246">
        <f>IF(CouplingMode="AC",B70-(A$11-A$10)*SUM(B$9:B70)/0.21,B70)</f>
        <v>1.5984999999999999E-2</v>
      </c>
      <c r="E70" s="247">
        <f t="shared" si="20"/>
        <v>3.4349956118569778</v>
      </c>
      <c r="F70" s="247">
        <f t="shared" si="21"/>
        <v>3.4349956118569778</v>
      </c>
      <c r="G70" s="248">
        <f t="shared" si="22"/>
        <v>9.0442019293462758E+17</v>
      </c>
      <c r="H70" s="249">
        <f t="shared" si="23"/>
        <v>4.7094398121641512E-4</v>
      </c>
      <c r="I70" s="248">
        <f>IF(MobilityModel=DK,CalcDeltaN(H70,SampleDoping,Thickness,AreaFrac),CalcDeltaNDL(H70,AreaFrac,Thickness,SampleType,SampleDoping,Temperature))</f>
        <v>50561494886832.953</v>
      </c>
      <c r="J70" s="248" t="str">
        <f t="shared" si="24"/>
        <v/>
      </c>
      <c r="K70" s="248">
        <f t="shared" si="25"/>
        <v>50561494886832.953</v>
      </c>
      <c r="L70" s="250">
        <f t="shared" si="33"/>
        <v>-2.9549344775868568E+16</v>
      </c>
      <c r="M70" s="196" t="str">
        <f t="shared" si="26"/>
        <v/>
      </c>
      <c r="N70" s="196" t="str">
        <f t="shared" si="27"/>
        <v/>
      </c>
      <c r="O70" s="250">
        <f t="shared" si="28"/>
        <v>50561494886832.953</v>
      </c>
      <c r="P70" s="248">
        <f t="shared" si="34"/>
        <v>1.9544355651117906E-6</v>
      </c>
      <c r="Q70" s="250" t="str">
        <f t="shared" si="35"/>
        <v/>
      </c>
      <c r="R70" s="251" t="str">
        <f t="shared" si="36"/>
        <v/>
      </c>
      <c r="S70" s="252">
        <f>IF(AND(E70&gt;0.95*BiasLight,E70&lt;1.05*BiasLight),"",IF(AugerModel="Sinton",calclifetimeauger(Auger_Coefficient,I70,P70),calclifetimerichter(SampleType,I70,SampleDoping,P70)))</f>
        <v>511656.66935082705</v>
      </c>
      <c r="T70" s="201" t="str">
        <f t="shared" si="37"/>
        <v/>
      </c>
      <c r="U70" s="252">
        <f t="shared" si="29"/>
        <v>377887.26605125063</v>
      </c>
      <c r="V70" s="251" t="str">
        <f>IF(AugerModel="Sinton","",IF(SampleType="n-type",n_intr_boltzmann(SampleDoping,0,K70,Temperature+273.15),n_intr_boltzmann(0,SampleDoping,K70,Temperature+273.15)))</f>
        <v/>
      </c>
      <c r="W70" s="251" t="str">
        <f t="shared" si="13"/>
        <v/>
      </c>
      <c r="X70" s="246">
        <f>IF(AND(A70&gt;TimeofMaxCD,I70&gt;Traps),IF(AugerModel="Sinton",CalcImpliedV(SampleDoping,O70),CalcImpliedVRichter(O70,SampleDoping,V70)),"")</f>
        <v>0.5681294987036738</v>
      </c>
      <c r="Y70" s="253">
        <f t="shared" si="30"/>
        <v>3.4389236150850078</v>
      </c>
      <c r="Z70" s="200" t="str">
        <f t="shared" si="31"/>
        <v/>
      </c>
      <c r="AE70" s="251">
        <f t="shared" si="32"/>
        <v>1661.188014798171</v>
      </c>
    </row>
    <row r="71" spans="1:31" x14ac:dyDescent="0.2">
      <c r="A71" s="244">
        <v>6.2500000000000003E-3</v>
      </c>
      <c r="B71" s="244">
        <v>1.481E-2</v>
      </c>
      <c r="C71" s="245">
        <v>3.1192000000000001E-2</v>
      </c>
      <c r="D71" s="246">
        <f>IF(CouplingMode="AC",B71-(A$11-A$10)*SUM(B$9:B71)/0.21,B71)</f>
        <v>1.481E-2</v>
      </c>
      <c r="E71" s="247">
        <f t="shared" si="20"/>
        <v>3.2869399983140424</v>
      </c>
      <c r="F71" s="247">
        <f t="shared" si="21"/>
        <v>3.2869399983140424</v>
      </c>
      <c r="G71" s="248">
        <f t="shared" si="22"/>
        <v>8.6543775985571994E+17</v>
      </c>
      <c r="H71" s="249">
        <f t="shared" si="23"/>
        <v>4.3632316485411188E-4</v>
      </c>
      <c r="I71" s="248">
        <f>IF(MobilityModel=DK,CalcDeltaN(H71,SampleDoping,Thickness,AreaFrac),CalcDeltaNDL(H71,AreaFrac,Thickness,SampleType,SampleDoping,Temperature))</f>
        <v>46842659548503.156</v>
      </c>
      <c r="J71" s="248" t="str">
        <f t="shared" si="24"/>
        <v/>
      </c>
      <c r="K71" s="248">
        <f t="shared" si="25"/>
        <v>46842659548503.156</v>
      </c>
      <c r="L71" s="250">
        <f t="shared" si="33"/>
        <v>-2.7635712756749048E+16</v>
      </c>
      <c r="M71" s="196" t="str">
        <f t="shared" si="26"/>
        <v/>
      </c>
      <c r="N71" s="196" t="str">
        <f t="shared" si="27"/>
        <v/>
      </c>
      <c r="O71" s="250">
        <f t="shared" si="28"/>
        <v>46842659548503.156</v>
      </c>
      <c r="P71" s="248">
        <f t="shared" si="34"/>
        <v>1.8922940953121849E-6</v>
      </c>
      <c r="Q71" s="250" t="str">
        <f t="shared" si="35"/>
        <v/>
      </c>
      <c r="R71" s="251" t="str">
        <f t="shared" si="36"/>
        <v/>
      </c>
      <c r="S71" s="252">
        <f>IF(AND(E71&gt;0.95*BiasLight,E71&lt;1.05*BiasLight),"",IF(AugerModel="Sinton",calclifetimeauger(Auger_Coefficient,I71,P71),calclifetimerichter(SampleType,I71,SampleDoping,P71)))</f>
        <v>528459.07810248423</v>
      </c>
      <c r="T71" s="201" t="str">
        <f t="shared" si="37"/>
        <v/>
      </c>
      <c r="U71" s="252">
        <f t="shared" si="29"/>
        <v>378037.81540051289</v>
      </c>
      <c r="V71" s="251" t="str">
        <f>IF(AugerModel="Sinton","",IF(SampleType="n-type",n_intr_boltzmann(SampleDoping,0,K71,Temperature+273.15),n_intr_boltzmann(0,SampleDoping,K71,Temperature+273.15)))</f>
        <v/>
      </c>
      <c r="W71" s="251" t="str">
        <f t="shared" si="13"/>
        <v/>
      </c>
      <c r="X71" s="246">
        <f>IF(AND(A71&gt;TimeofMaxCD,I71&gt;Traps),IF(AugerModel="Sinton",CalcImpliedV(SampleDoping,O71),CalcImpliedVRichter(O71,SampleDoping,V71)),"")</f>
        <v>0.56615064659924064</v>
      </c>
      <c r="Y71" s="253">
        <f t="shared" si="30"/>
        <v>3.2906136218661319</v>
      </c>
      <c r="Z71" s="200" t="str">
        <f t="shared" si="31"/>
        <v/>
      </c>
      <c r="AE71" s="251">
        <f t="shared" si="32"/>
        <v>1661.2544984260151</v>
      </c>
    </row>
    <row r="72" spans="1:31" x14ac:dyDescent="0.2">
      <c r="A72" s="244">
        <v>6.3499999999999997E-3</v>
      </c>
      <c r="B72" s="244">
        <v>1.4090999999999999E-2</v>
      </c>
      <c r="C72" s="245">
        <v>2.9866E-2</v>
      </c>
      <c r="D72" s="246">
        <f>IF(CouplingMode="AC",B72-(A$11-A$10)*SUM(B$9:B72)/0.21,B72)</f>
        <v>1.4090999999999999E-2</v>
      </c>
      <c r="E72" s="247">
        <f t="shared" si="20"/>
        <v>3.1472092199809949</v>
      </c>
      <c r="F72" s="247">
        <f t="shared" si="21"/>
        <v>3.1472092199809949</v>
      </c>
      <c r="G72" s="248">
        <f t="shared" si="22"/>
        <v>8.2864722159050163E+17</v>
      </c>
      <c r="H72" s="249">
        <f t="shared" si="23"/>
        <v>4.1513843885205431E-4</v>
      </c>
      <c r="I72" s="248">
        <f>IF(MobilityModel=DK,CalcDeltaN(H72,SampleDoping,Thickness,AreaFrac),CalcDeltaNDL(H72,AreaFrac,Thickness,SampleType,SampleDoping,Temperature))</f>
        <v>44567224207270.328</v>
      </c>
      <c r="J72" s="248" t="str">
        <f t="shared" si="24"/>
        <v/>
      </c>
      <c r="K72" s="248">
        <f t="shared" si="25"/>
        <v>44567224207270.328</v>
      </c>
      <c r="L72" s="250">
        <f t="shared" si="33"/>
        <v>-2.4105543081936068E+16</v>
      </c>
      <c r="M72" s="196" t="str">
        <f t="shared" si="26"/>
        <v/>
      </c>
      <c r="N72" s="196" t="str">
        <f t="shared" si="27"/>
        <v/>
      </c>
      <c r="O72" s="250">
        <f t="shared" si="28"/>
        <v>44567224207270.328</v>
      </c>
      <c r="P72" s="248">
        <f t="shared" si="34"/>
        <v>1.8804941897757028E-6</v>
      </c>
      <c r="Q72" s="250" t="str">
        <f t="shared" si="35"/>
        <v/>
      </c>
      <c r="R72" s="251" t="str">
        <f t="shared" si="36"/>
        <v/>
      </c>
      <c r="S72" s="252">
        <f>IF(AND(E72&gt;0.95*BiasLight,E72&lt;1.05*BiasLight),"",IF(AugerModel="Sinton",calclifetimeauger(Auger_Coefficient,I72,P72),calclifetimerichter(SampleType,I72,SampleDoping,P72)))</f>
        <v>531775.10424480296</v>
      </c>
      <c r="T72" s="201" t="str">
        <f t="shared" si="37"/>
        <v/>
      </c>
      <c r="U72" s="252">
        <f t="shared" si="29"/>
        <v>378129.93168928218</v>
      </c>
      <c r="V72" s="251" t="str">
        <f>IF(AugerModel="Sinton","",IF(SampleType="n-type",n_intr_boltzmann(SampleDoping,0,K72,Temperature+273.15),n_intr_boltzmann(0,SampleDoping,K72,Temperature+273.15)))</f>
        <v/>
      </c>
      <c r="W72" s="251" t="str">
        <f t="shared" si="13"/>
        <v/>
      </c>
      <c r="X72" s="246">
        <f>IF(AND(A72&gt;TimeofMaxCD,I72&gt;Traps),IF(AugerModel="Sinton",CalcImpliedV(SampleDoping,O72),CalcImpliedVRichter(O72,SampleDoping,V72)),"")</f>
        <v>0.56486145624451845</v>
      </c>
      <c r="Y72" s="253">
        <f t="shared" si="30"/>
        <v>3.150413577023679</v>
      </c>
      <c r="Z72" s="200" t="str">
        <f t="shared" si="31"/>
        <v/>
      </c>
      <c r="AE72" s="251">
        <f t="shared" si="32"/>
        <v>1661.2951839386601</v>
      </c>
    </row>
    <row r="73" spans="1:31" x14ac:dyDescent="0.2">
      <c r="A73" s="244">
        <v>6.45E-3</v>
      </c>
      <c r="B73" s="244">
        <v>1.3349E-2</v>
      </c>
      <c r="C73" s="245">
        <v>2.8577999999999999E-2</v>
      </c>
      <c r="D73" s="246">
        <f>IF(CouplingMode="AC",B73-(A$11-A$10)*SUM(B$9:B73)/0.21,B73)</f>
        <v>1.3349E-2</v>
      </c>
      <c r="E73" s="247">
        <f t="shared" ref="E73:E104" si="38">IF(C73&gt;0,C73/RefCellCal,0.00001)</f>
        <v>3.0114827927615639</v>
      </c>
      <c r="F73" s="247">
        <f t="shared" ref="F73:F104" si="39">E73-BiasLight</f>
        <v>3.0114827927615639</v>
      </c>
      <c r="G73" s="248">
        <f t="shared" ref="G73:G104" si="40">F73*0.038*OptConst/1.602E-19</f>
        <v>7.9291101247617216E+17</v>
      </c>
      <c r="H73" s="249">
        <f t="shared" ref="H73:H104" si="41">CalcConductance(B73,Dark_Voltage,A_cal,B_cal,C_cal)</f>
        <v>3.932762500056565E-4</v>
      </c>
      <c r="I73" s="248">
        <f>IF(MobilityModel=DK,CalcDeltaN(H73,SampleDoping,Thickness,AreaFrac),CalcDeltaNDL(H73,AreaFrac,Thickness,SampleType,SampleDoping,Temperature))</f>
        <v>42219139873242.008</v>
      </c>
      <c r="J73" s="248" t="str">
        <f t="shared" ref="J73:J104" si="42">IF(AND(AND(I73&gt;=FitRangeMin,I73&lt;=FitRangeMax),A73&gt;TimeofMaxCD),I73,"")</f>
        <v/>
      </c>
      <c r="K73" s="248">
        <f t="shared" ref="K73:K104" si="43">IF(I73-BiasPtCD=0,0.00001,I73-BiasPtCD)</f>
        <v>42219139873242.008</v>
      </c>
      <c r="L73" s="250">
        <f t="shared" si="33"/>
        <v>-2.1961282096192696E+16</v>
      </c>
      <c r="M73" s="196" t="str">
        <f t="shared" ref="M73:M104" si="44">IF(E73&gt;0.85*BiasLight,IF( E73&lt;1.15*BiasLight,E73,""),"")</f>
        <v/>
      </c>
      <c r="N73" s="196" t="str">
        <f t="shared" ref="N73:N104" si="45">IF(E73&gt;0.85*BiasLight,IF(E73&lt;1.15*BiasLight,I73,""),"")</f>
        <v/>
      </c>
      <c r="O73" s="250">
        <f t="shared" ref="O73:O104" si="46">I73-Traps</f>
        <v>42219139873242.008</v>
      </c>
      <c r="P73" s="248">
        <f t="shared" si="34"/>
        <v>1.8617963581151736E-6</v>
      </c>
      <c r="Q73" s="250" t="str">
        <f t="shared" si="35"/>
        <v/>
      </c>
      <c r="R73" s="251" t="str">
        <f t="shared" si="36"/>
        <v/>
      </c>
      <c r="S73" s="252">
        <f>IF(AND(E73&gt;0.95*BiasLight,E73&lt;1.05*BiasLight),"",IF(AugerModel="Sinton",calclifetimeauger(Auger_Coefficient,I73,P73),calclifetimerichter(SampleType,I73,SampleDoping,P73)))</f>
        <v>537115.6679581994</v>
      </c>
      <c r="T73" s="201" t="str">
        <f t="shared" si="37"/>
        <v/>
      </c>
      <c r="U73" s="252">
        <f t="shared" ref="U73:U104" si="47">FitInterceptAuger+FitSlopeAuger*(I73+Traps)</f>
        <v>378224.98902211362</v>
      </c>
      <c r="V73" s="251" t="str">
        <f>IF(AugerModel="Sinton","",IF(SampleType="n-type",n_intr_boltzmann(SampleDoping,0,K73,Temperature+273.15),n_intr_boltzmann(0,SampleDoping,K73,Temperature+273.15)))</f>
        <v/>
      </c>
      <c r="W73" s="251" t="str">
        <f t="shared" si="13"/>
        <v/>
      </c>
      <c r="X73" s="246">
        <f>IF(AND(A73&gt;TimeofMaxCD,I73&gt;Traps),IF(AugerModel="Sinton",CalcImpliedV(SampleDoping,O73),CalcImpliedVRichter(O73,SampleDoping,V73)),"")</f>
        <v>0.56346072153252191</v>
      </c>
      <c r="Y73" s="253">
        <f t="shared" ref="Y73:Y104" si="48">IF(OR(P73="",P73&lt;0,A73&lt;=TimeofMaxCD),"",(O73*Thickness*1.602E-19/(0.038*OptConst*P73)))</f>
        <v>3.0144021125508798</v>
      </c>
      <c r="Z73" s="200" t="str">
        <f t="shared" ref="Z73:Z104" si="49">IF(C73&gt;0.6,O73,"")</f>
        <v/>
      </c>
      <c r="AE73" s="251">
        <f t="shared" ref="AE73:AE104" si="50">H73/(K73*AreaFrac*Thickness*1.602E-19)</f>
        <v>1661.3371734758841</v>
      </c>
    </row>
    <row r="74" spans="1:31" x14ac:dyDescent="0.2">
      <c r="A74" s="244">
        <v>6.5500000000000003E-3</v>
      </c>
      <c r="B74" s="244">
        <v>1.2907E-2</v>
      </c>
      <c r="C74" s="245">
        <v>2.7355000000000001E-2</v>
      </c>
      <c r="D74" s="246">
        <f>IF(CouplingMode="AC",B74-(A$11-A$10)*SUM(B$9:B74)/0.21,B74)</f>
        <v>1.2907E-2</v>
      </c>
      <c r="E74" s="247">
        <f t="shared" si="38"/>
        <v>2.8826059134996358</v>
      </c>
      <c r="F74" s="247">
        <f t="shared" si="39"/>
        <v>2.8826059134996358</v>
      </c>
      <c r="G74" s="248">
        <f t="shared" si="40"/>
        <v>7.5897826111994163E+17</v>
      </c>
      <c r="H74" s="249">
        <f t="shared" si="41"/>
        <v>3.8025332373824161E-4</v>
      </c>
      <c r="I74" s="248">
        <f>IF(MobilityModel=DK,CalcDeltaN(H74,SampleDoping,Thickness,AreaFrac),CalcDeltaNDL(H74,AreaFrac,Thickness,SampleType,SampleDoping,Temperature))</f>
        <v>40820483183495.492</v>
      </c>
      <c r="J74" s="248" t="str">
        <f t="shared" si="42"/>
        <v/>
      </c>
      <c r="K74" s="248">
        <f t="shared" si="43"/>
        <v>40820483183495.492</v>
      </c>
      <c r="L74" s="250">
        <f t="shared" si="33"/>
        <v>-2.120385623251874E+16</v>
      </c>
      <c r="M74" s="196" t="str">
        <f t="shared" si="44"/>
        <v/>
      </c>
      <c r="N74" s="196" t="str">
        <f t="shared" si="45"/>
        <v/>
      </c>
      <c r="O74" s="250">
        <f t="shared" si="46"/>
        <v>40820483183495.492</v>
      </c>
      <c r="P74" s="248">
        <f t="shared" si="34"/>
        <v>1.8805825390222919E-6</v>
      </c>
      <c r="Q74" s="250" t="str">
        <f t="shared" si="35"/>
        <v/>
      </c>
      <c r="R74" s="251" t="str">
        <f t="shared" si="36"/>
        <v/>
      </c>
      <c r="S74" s="252">
        <f>IF(AND(E74&gt;0.95*BiasLight,E74&lt;1.05*BiasLight),"",IF(AugerModel="Sinton",calclifetimeauger(Auger_Coefficient,I74,P74),calclifetimerichter(SampleType,I74,SampleDoping,P74)))</f>
        <v>531750.12212867779</v>
      </c>
      <c r="T74" s="201" t="str">
        <f t="shared" si="37"/>
        <v/>
      </c>
      <c r="U74" s="252">
        <f t="shared" si="47"/>
        <v>378281.61074244423</v>
      </c>
      <c r="V74" s="251" t="str">
        <f>IF(AugerModel="Sinton","",IF(SampleType="n-type",n_intr_boltzmann(SampleDoping,0,K74,Temperature+273.15),n_intr_boltzmann(0,SampleDoping,K74,Temperature+273.15)))</f>
        <v/>
      </c>
      <c r="W74" s="251" t="str">
        <f t="shared" ref="W74:W134" si="51">IF(V74="","",IF(T74="","",(V74^2)*T74))</f>
        <v/>
      </c>
      <c r="X74" s="246">
        <f>IF(AND(A74&gt;TimeofMaxCD,I74&gt;Traps),IF(AugerModel="Sinton",CalcImpliedV(SampleDoping,O74),CalcImpliedVRichter(O74,SampleDoping,V74)),"")</f>
        <v>0.5625891188504597</v>
      </c>
      <c r="Y74" s="253">
        <f t="shared" si="48"/>
        <v>2.8854245484426353</v>
      </c>
      <c r="Z74" s="200" t="str">
        <f t="shared" si="49"/>
        <v/>
      </c>
      <c r="AE74" s="251">
        <f t="shared" si="50"/>
        <v>1661.3621873382003</v>
      </c>
    </row>
    <row r="75" spans="1:31" x14ac:dyDescent="0.2">
      <c r="A75" s="244">
        <v>6.6499999999999997E-3</v>
      </c>
      <c r="B75" s="244">
        <v>1.1932E-2</v>
      </c>
      <c r="C75" s="245">
        <v>2.6193999999999999E-2</v>
      </c>
      <c r="D75" s="246">
        <f>IF(CouplingMode="AC",B75-(A$11-A$10)*SUM(B$9:B75)/0.21,B75)</f>
        <v>1.1932E-2</v>
      </c>
      <c r="E75" s="247">
        <f t="shared" si="38"/>
        <v>2.7602624492125551</v>
      </c>
      <c r="F75" s="247">
        <f t="shared" si="39"/>
        <v>2.7602624492125551</v>
      </c>
      <c r="G75" s="248">
        <f t="shared" si="40"/>
        <v>7.267657310098976E+17</v>
      </c>
      <c r="H75" s="249">
        <f t="shared" si="41"/>
        <v>3.515265515427711E-4</v>
      </c>
      <c r="I75" s="248">
        <f>IF(MobilityModel=DK,CalcDeltaN(H75,SampleDoping,Thickness,AreaFrac),CalcDeltaNDL(H75,AreaFrac,Thickness,SampleType,SampleDoping,Temperature))</f>
        <v>37735389012294.234</v>
      </c>
      <c r="J75" s="248" t="str">
        <f t="shared" si="42"/>
        <v/>
      </c>
      <c r="K75" s="248">
        <f t="shared" si="43"/>
        <v>37735389012294.234</v>
      </c>
      <c r="L75" s="250">
        <f t="shared" ref="L75:L106" si="52">IF(ABS(SLOPE(K73:K77,A73:A77))&lt;1000000000000,-1000000000000,(SLOPE(K73:K77,A73:A77)))</f>
        <v>-1.9358197015456068E+16</v>
      </c>
      <c r="M75" s="196" t="str">
        <f t="shared" si="44"/>
        <v/>
      </c>
      <c r="N75" s="196" t="str">
        <f t="shared" si="45"/>
        <v/>
      </c>
      <c r="O75" s="250">
        <f t="shared" si="46"/>
        <v>37735389012294.234</v>
      </c>
      <c r="P75" s="248">
        <f t="shared" ref="P75:P106" si="53">calclifetime(AnalysisMode,K75,Thickness,G75,L75)</f>
        <v>1.8155898524336651E-6</v>
      </c>
      <c r="Q75" s="250" t="str">
        <f t="shared" si="35"/>
        <v/>
      </c>
      <c r="R75" s="251" t="str">
        <f t="shared" si="36"/>
        <v/>
      </c>
      <c r="S75" s="252">
        <f>IF(AND(E75&gt;0.95*BiasLight,E75&lt;1.05*BiasLight),"",IF(AugerModel="Sinton",calclifetimeauger(Auger_Coefficient,I75,P75),calclifetimerichter(SampleType,I75,SampleDoping,P75)))</f>
        <v>550785.18662567495</v>
      </c>
      <c r="T75" s="201" t="str">
        <f t="shared" si="37"/>
        <v/>
      </c>
      <c r="U75" s="252">
        <f t="shared" si="47"/>
        <v>378406.50439264165</v>
      </c>
      <c r="V75" s="251" t="str">
        <f>IF(AugerModel="Sinton","",IF(SampleType="n-type",n_intr_boltzmann(SampleDoping,0,K75,Temperature+273.15),n_intr_boltzmann(0,SampleDoping,K75,Temperature+273.15)))</f>
        <v/>
      </c>
      <c r="W75" s="251" t="str">
        <f t="shared" si="51"/>
        <v/>
      </c>
      <c r="X75" s="246">
        <f>IF(AND(A75&gt;TimeofMaxCD,I75&gt;Traps),IF(AugerModel="Sinton",CalcImpliedV(SampleDoping,O75),CalcImpliedVRichter(O75,SampleDoping,V75)),"")</f>
        <v>0.56055676060922599</v>
      </c>
      <c r="Y75" s="253">
        <f t="shared" si="48"/>
        <v>2.7628357401244963</v>
      </c>
      <c r="Z75" s="200" t="str">
        <f t="shared" si="49"/>
        <v/>
      </c>
      <c r="AE75" s="251">
        <f t="shared" si="50"/>
        <v>1661.41736821576</v>
      </c>
    </row>
    <row r="76" spans="1:31" x14ac:dyDescent="0.2">
      <c r="A76" s="244">
        <v>6.7499999999999999E-3</v>
      </c>
      <c r="B76" s="244">
        <v>1.1449000000000001E-2</v>
      </c>
      <c r="C76" s="245">
        <v>2.5061E-2</v>
      </c>
      <c r="D76" s="246">
        <f>IF(CouplingMode="AC",B76-(A$11-A$10)*SUM(B$9:B76)/0.21,B76)</f>
        <v>1.1449000000000001E-2</v>
      </c>
      <c r="E76" s="247">
        <f t="shared" si="38"/>
        <v>2.6408695594302456</v>
      </c>
      <c r="F76" s="247">
        <f t="shared" si="39"/>
        <v>2.6408695594302456</v>
      </c>
      <c r="G76" s="248">
        <f t="shared" si="40"/>
        <v>6.9533007501103475E+17</v>
      </c>
      <c r="H76" s="249">
        <f t="shared" si="41"/>
        <v>3.3729588870227631E-4</v>
      </c>
      <c r="I76" s="248">
        <f>IF(MobilityModel=DK,CalcDeltaN(H76,SampleDoping,Thickness,AreaFrac),CalcDeltaNDL(H76,AreaFrac,Thickness,SampleType,SampleDoping,Temperature))</f>
        <v>36207171521484.844</v>
      </c>
      <c r="J76" s="248" t="str">
        <f t="shared" si="42"/>
        <v/>
      </c>
      <c r="K76" s="248">
        <f t="shared" si="43"/>
        <v>36207171521484.844</v>
      </c>
      <c r="L76" s="250">
        <f t="shared" si="52"/>
        <v>-2.0992849444307492E+16</v>
      </c>
      <c r="M76" s="196" t="str">
        <f t="shared" si="44"/>
        <v/>
      </c>
      <c r="N76" s="196" t="str">
        <f t="shared" si="45"/>
        <v/>
      </c>
      <c r="O76" s="250">
        <f t="shared" si="46"/>
        <v>36207171521484.844</v>
      </c>
      <c r="P76" s="248">
        <f t="shared" si="53"/>
        <v>1.8205933674675162E-6</v>
      </c>
      <c r="Q76" s="250" t="str">
        <f t="shared" ref="Q76:Q107" si="54">IF($J76="","",P76)</f>
        <v/>
      </c>
      <c r="R76" s="251" t="str">
        <f t="shared" ref="R76" si="55">IF(Q76="","",1/Q76)</f>
        <v/>
      </c>
      <c r="S76" s="252">
        <f>IF(AND(E76&gt;0.95*BiasLight,E76&lt;1.05*BiasLight),"",IF(AugerModel="Sinton",calclifetimeauger(Auger_Coefficient,I76,P76),calclifetimerichter(SampleType,I76,SampleDoping,P76)))</f>
        <v>549271.47044870304</v>
      </c>
      <c r="T76" s="201" t="str">
        <f t="shared" ref="T76:T107" si="56">IF($J76="","",S76)</f>
        <v/>
      </c>
      <c r="U76" s="252">
        <f t="shared" si="47"/>
        <v>378468.37111376302</v>
      </c>
      <c r="V76" s="251" t="str">
        <f>IF(AugerModel="Sinton","",IF(SampleType="n-type",n_intr_boltzmann(SampleDoping,0,K76,Temperature+273.15),n_intr_boltzmann(0,SampleDoping,K76,Temperature+273.15)))</f>
        <v/>
      </c>
      <c r="W76" s="251" t="str">
        <f t="shared" si="51"/>
        <v/>
      </c>
      <c r="X76" s="246">
        <f>IF(AND(A76&gt;TimeofMaxCD,I76&gt;Traps),IF(AugerModel="Sinton",CalcImpliedV(SampleDoping,O76),CalcImpliedVRichter(O76,SampleDoping,V76)),"")</f>
        <v>0.55948802000348175</v>
      </c>
      <c r="Y76" s="253">
        <f t="shared" si="48"/>
        <v>2.6436601451778565</v>
      </c>
      <c r="Z76" s="200" t="str">
        <f t="shared" si="49"/>
        <v/>
      </c>
      <c r="AE76" s="251">
        <f t="shared" si="50"/>
        <v>1661.4447056255583</v>
      </c>
    </row>
    <row r="77" spans="1:31" x14ac:dyDescent="0.2">
      <c r="A77" s="244">
        <v>6.8500000000000002E-3</v>
      </c>
      <c r="B77" s="244">
        <v>1.1018999999999999E-2</v>
      </c>
      <c r="C77" s="245">
        <v>2.3996E-2</v>
      </c>
      <c r="D77" s="246">
        <f>IF(CouplingMode="AC",B77-(A$11-A$10)*SUM(B$9:B77)/0.21,B77)</f>
        <v>1.1018999999999999E-2</v>
      </c>
      <c r="E77" s="247">
        <f t="shared" si="38"/>
        <v>2.5286423505880919</v>
      </c>
      <c r="F77" s="247">
        <f t="shared" si="39"/>
        <v>2.5286423505880919</v>
      </c>
      <c r="G77" s="248">
        <f t="shared" si="40"/>
        <v>6.6578111328218304E+17</v>
      </c>
      <c r="H77" s="249">
        <f t="shared" si="41"/>
        <v>3.2462684559458888E-4</v>
      </c>
      <c r="I77" s="248">
        <f>IF(MobilityModel=DK,CalcDeltaN(H77,SampleDoping,Thickness,AreaFrac),CalcDeltaNDL(H77,AreaFrac,Thickness,SampleType,SampleDoping,Temperature))</f>
        <v>34846697196519.297</v>
      </c>
      <c r="J77" s="248" t="str">
        <f t="shared" si="42"/>
        <v/>
      </c>
      <c r="K77" s="248">
        <f t="shared" si="43"/>
        <v>34846697196519.297</v>
      </c>
      <c r="L77" s="250">
        <f t="shared" si="52"/>
        <v>-1.837209818304212E+16</v>
      </c>
      <c r="M77" s="196" t="str">
        <f t="shared" si="44"/>
        <v/>
      </c>
      <c r="N77" s="196" t="str">
        <f t="shared" si="45"/>
        <v/>
      </c>
      <c r="O77" s="250">
        <f t="shared" si="46"/>
        <v>34846697196519.297</v>
      </c>
      <c r="P77" s="248">
        <f t="shared" si="53"/>
        <v>1.8301173902307047E-6</v>
      </c>
      <c r="Q77" s="250" t="str">
        <f t="shared" si="54"/>
        <v/>
      </c>
      <c r="R77" s="251" t="str">
        <f t="shared" ref="R77:R108" si="57">IF(Q77="","",1/Q77)</f>
        <v/>
      </c>
      <c r="S77" s="252">
        <f>IF(AND(E77&gt;0.95*BiasLight,E77&lt;1.05*BiasLight),"",IF(AugerModel="Sinton",calclifetimeauger(Auger_Coefficient,I77,P77),calclifetimerichter(SampleType,I77,SampleDoping,P77)))</f>
        <v>546413.03429444274</v>
      </c>
      <c r="T77" s="201" t="str">
        <f t="shared" si="56"/>
        <v/>
      </c>
      <c r="U77" s="252">
        <f t="shared" si="47"/>
        <v>378523.44710010762</v>
      </c>
      <c r="V77" s="251" t="str">
        <f>IF(AugerModel="Sinton","",IF(SampleType="n-type",n_intr_boltzmann(SampleDoping,0,K77,Temperature+273.15),n_intr_boltzmann(0,SampleDoping,K77,Temperature+273.15)))</f>
        <v/>
      </c>
      <c r="W77" s="251" t="str">
        <f t="shared" si="51"/>
        <v/>
      </c>
      <c r="X77" s="246">
        <f>IF(AND(A77&gt;TimeofMaxCD,I77&gt;Traps),IF(AugerModel="Sinton",CalcImpliedV(SampleDoping,O77),CalcImpliedVRichter(O77,SampleDoping,V77)),"")</f>
        <v>0.55849816857063883</v>
      </c>
      <c r="Y77" s="253">
        <f t="shared" si="48"/>
        <v>2.5310845590876734</v>
      </c>
      <c r="Z77" s="200" t="str">
        <f t="shared" si="49"/>
        <v/>
      </c>
      <c r="AE77" s="251">
        <f t="shared" si="50"/>
        <v>1661.4690441993914</v>
      </c>
    </row>
    <row r="78" spans="1:31" x14ac:dyDescent="0.2">
      <c r="A78" s="244">
        <v>6.9499999999999996E-3</v>
      </c>
      <c r="B78" s="244">
        <v>1.0045999999999999E-2</v>
      </c>
      <c r="C78" s="245">
        <v>2.2984999999999998E-2</v>
      </c>
      <c r="D78" s="246">
        <f>IF(CouplingMode="AC",B78-(A$11-A$10)*SUM(B$9:B78)/0.21,B78)</f>
        <v>1.0045999999999999E-2</v>
      </c>
      <c r="E78" s="247">
        <f t="shared" si="38"/>
        <v>2.4221055354337091</v>
      </c>
      <c r="F78" s="247">
        <f t="shared" si="39"/>
        <v>2.4221055354337091</v>
      </c>
      <c r="G78" s="248">
        <f t="shared" si="40"/>
        <v>6.3773040876775194E+17</v>
      </c>
      <c r="H78" s="249">
        <f t="shared" si="41"/>
        <v>2.9595972051518413E-4</v>
      </c>
      <c r="I78" s="248">
        <f>IF(MobilityModel=DK,CalcDeltaN(H78,SampleDoping,Thickness,AreaFrac),CalcDeltaNDL(H78,AreaFrac,Thickness,SampleType,SampleDoping,Temperature))</f>
        <v>31768404369229.223</v>
      </c>
      <c r="J78" s="248" t="str">
        <f t="shared" si="42"/>
        <v/>
      </c>
      <c r="K78" s="248">
        <f t="shared" si="43"/>
        <v>31768404369229.223</v>
      </c>
      <c r="L78" s="250">
        <f t="shared" si="52"/>
        <v>-1.7928508830617472E+16</v>
      </c>
      <c r="M78" s="196" t="str">
        <f t="shared" si="44"/>
        <v/>
      </c>
      <c r="N78" s="196" t="str">
        <f t="shared" si="45"/>
        <v/>
      </c>
      <c r="O78" s="250">
        <f t="shared" si="46"/>
        <v>31768404369229.223</v>
      </c>
      <c r="P78" s="248">
        <f t="shared" si="53"/>
        <v>1.7418036832746762E-6</v>
      </c>
      <c r="Q78" s="250" t="str">
        <f t="shared" si="54"/>
        <v/>
      </c>
      <c r="R78" s="251" t="str">
        <f t="shared" si="57"/>
        <v/>
      </c>
      <c r="S78" s="252">
        <f>IF(AND(E78&gt;0.95*BiasLight,E78&lt;1.05*BiasLight),"",IF(AugerModel="Sinton",calclifetimeauger(Auger_Coefficient,I78,P78),calclifetimerichter(SampleType,I78,SampleDoping,P78)))</f>
        <v>574117.5120274548</v>
      </c>
      <c r="T78" s="201" t="str">
        <f t="shared" si="56"/>
        <v/>
      </c>
      <c r="U78" s="252">
        <f t="shared" si="47"/>
        <v>378648.06541197817</v>
      </c>
      <c r="V78" s="251" t="str">
        <f>IF(AugerModel="Sinton","",IF(SampleType="n-type",n_intr_boltzmann(SampleDoping,0,K78,Temperature+273.15),n_intr_boltzmann(0,SampleDoping,K78,Temperature+273.15)))</f>
        <v/>
      </c>
      <c r="W78" s="251" t="str">
        <f t="shared" si="51"/>
        <v/>
      </c>
      <c r="X78" s="246">
        <f>IF(AND(A78&gt;TimeofMaxCD,I78&gt;Traps),IF(AugerModel="Sinton",CalcImpliedV(SampleDoping,O78),CalcImpliedVRichter(O78,SampleDoping,V78)),"")</f>
        <v>0.55610872256674815</v>
      </c>
      <c r="Y78" s="253">
        <f t="shared" si="48"/>
        <v>2.4244887774681634</v>
      </c>
      <c r="Z78" s="200" t="str">
        <f t="shared" si="49"/>
        <v/>
      </c>
      <c r="AE78" s="251">
        <f t="shared" si="50"/>
        <v>1661.5241205020002</v>
      </c>
    </row>
    <row r="79" spans="1:31" x14ac:dyDescent="0.2">
      <c r="A79" s="244">
        <v>7.0499999999999998E-3</v>
      </c>
      <c r="B79" s="244">
        <v>9.7300000000000008E-3</v>
      </c>
      <c r="C79" s="245">
        <v>2.1992000000000001E-2</v>
      </c>
      <c r="D79" s="246">
        <f>IF(CouplingMode="AC",B79-(A$11-A$10)*SUM(B$9:B79)/0.21,B79)</f>
        <v>9.7300000000000008E-3</v>
      </c>
      <c r="E79" s="247">
        <f t="shared" si="38"/>
        <v>2.317465518175251</v>
      </c>
      <c r="F79" s="247">
        <f t="shared" si="39"/>
        <v>2.317465518175251</v>
      </c>
      <c r="G79" s="248">
        <f t="shared" si="40"/>
        <v>6.1017912332479462E+17</v>
      </c>
      <c r="H79" s="249">
        <f t="shared" si="41"/>
        <v>2.8664961386294305E-4</v>
      </c>
      <c r="I79" s="248">
        <f>IF(MobilityModel=DK,CalcDeltaN(H79,SampleDoping,Thickness,AreaFrac),CalcDeltaNDL(H79,AreaFrac,Thickness,SampleType,SampleDoping,Temperature))</f>
        <v>30768723496900.984</v>
      </c>
      <c r="J79" s="248" t="str">
        <f t="shared" si="42"/>
        <v/>
      </c>
      <c r="K79" s="248">
        <f t="shared" si="43"/>
        <v>30768723496900.984</v>
      </c>
      <c r="L79" s="250">
        <f t="shared" si="52"/>
        <v>-1.5729199537863698E+16</v>
      </c>
      <c r="M79" s="196" t="str">
        <f t="shared" si="44"/>
        <v/>
      </c>
      <c r="N79" s="196" t="str">
        <f t="shared" si="45"/>
        <v/>
      </c>
      <c r="O79" s="250">
        <f t="shared" si="46"/>
        <v>30768723496900.984</v>
      </c>
      <c r="P79" s="248">
        <f t="shared" si="53"/>
        <v>1.7633093966600264E-6</v>
      </c>
      <c r="Q79" s="250" t="str">
        <f t="shared" si="54"/>
        <v/>
      </c>
      <c r="R79" s="251" t="str">
        <f t="shared" si="57"/>
        <v/>
      </c>
      <c r="S79" s="252">
        <f>IF(AND(E79&gt;0.95*BiasLight,E79&lt;1.05*BiasLight),"",IF(AugerModel="Sinton",calclifetimeauger(Auger_Coefficient,I79,P79),calclifetimerichter(SampleType,I79,SampleDoping,P79)))</f>
        <v>567115.447307789</v>
      </c>
      <c r="T79" s="201" t="str">
        <f t="shared" si="56"/>
        <v/>
      </c>
      <c r="U79" s="252">
        <f t="shared" si="47"/>
        <v>378688.53542237298</v>
      </c>
      <c r="V79" s="251" t="str">
        <f>IF(AugerModel="Sinton","",IF(SampleType="n-type",n_intr_boltzmann(SampleDoping,0,K79,Temperature+273.15),n_intr_boltzmann(0,SampleDoping,K79,Temperature+273.15)))</f>
        <v/>
      </c>
      <c r="W79" s="251" t="str">
        <f t="shared" si="51"/>
        <v/>
      </c>
      <c r="X79" s="246">
        <f>IF(AND(A79&gt;TimeofMaxCD,I79&gt;Traps),IF(AugerModel="Sinton",CalcImpliedV(SampleDoping,O79),CalcImpliedVRichter(O79,SampleDoping,V79)),"")</f>
        <v>0.55528294461579863</v>
      </c>
      <c r="Y79" s="253">
        <f t="shared" si="48"/>
        <v>2.3195564053684423</v>
      </c>
      <c r="Z79" s="200" t="str">
        <f t="shared" si="49"/>
        <v/>
      </c>
      <c r="AE79" s="251">
        <f t="shared" si="50"/>
        <v>1661.5420085205983</v>
      </c>
    </row>
    <row r="80" spans="1:31" x14ac:dyDescent="0.2">
      <c r="A80" s="244">
        <v>7.1500000000000001E-3</v>
      </c>
      <c r="B80" s="244">
        <v>9.2599999999999991E-3</v>
      </c>
      <c r="C80" s="245">
        <v>2.1072E-2</v>
      </c>
      <c r="D80" s="246">
        <f>IF(CouplingMode="AC",B80-(A$11-A$10)*SUM(B$9:B80)/0.21,B80)</f>
        <v>9.2599999999999991E-3</v>
      </c>
      <c r="E80" s="247">
        <f t="shared" si="38"/>
        <v>2.2205180701613716</v>
      </c>
      <c r="F80" s="247">
        <f t="shared" si="39"/>
        <v>2.2205180701613716</v>
      </c>
      <c r="G80" s="248">
        <f t="shared" si="40"/>
        <v>5.8465325967170202E+17</v>
      </c>
      <c r="H80" s="249">
        <f t="shared" si="41"/>
        <v>2.7280237580978167E-4</v>
      </c>
      <c r="I80" s="248">
        <f>IF(MobilityModel=DK,CalcDeltaN(H80,SampleDoping,Thickness,AreaFrac),CalcDeltaNDL(H80,AreaFrac,Thickness,SampleType,SampleDoping,Temperature))</f>
        <v>29281903955985.262</v>
      </c>
      <c r="J80" s="248" t="str">
        <f t="shared" si="42"/>
        <v/>
      </c>
      <c r="K80" s="248">
        <f t="shared" si="43"/>
        <v>29281903955985.262</v>
      </c>
      <c r="L80" s="250">
        <f t="shared" si="52"/>
        <v>-1.378595337635109E+16</v>
      </c>
      <c r="M80" s="196" t="str">
        <f t="shared" si="44"/>
        <v/>
      </c>
      <c r="N80" s="196" t="str">
        <f t="shared" si="45"/>
        <v/>
      </c>
      <c r="O80" s="250">
        <f t="shared" si="46"/>
        <v>29281903955985.262</v>
      </c>
      <c r="P80" s="248">
        <f t="shared" si="53"/>
        <v>1.7515022913274452E-6</v>
      </c>
      <c r="Q80" s="250" t="str">
        <f t="shared" si="54"/>
        <v/>
      </c>
      <c r="R80" s="251" t="str">
        <f t="shared" si="57"/>
        <v/>
      </c>
      <c r="S80" s="252">
        <f>IF(AND(E80&gt;0.95*BiasLight,E80&lt;1.05*BiasLight),"",IF(AugerModel="Sinton",calclifetimeauger(Auger_Coefficient,I80,P80),calclifetimerichter(SampleType,I80,SampleDoping,P80)))</f>
        <v>570938.44664578675</v>
      </c>
      <c r="T80" s="201" t="str">
        <f t="shared" si="56"/>
        <v/>
      </c>
      <c r="U80" s="252">
        <f t="shared" si="47"/>
        <v>378748.72623320244</v>
      </c>
      <c r="V80" s="251" t="str">
        <f>IF(AugerModel="Sinton","",IF(SampleType="n-type",n_intr_boltzmann(SampleDoping,0,K80,Temperature+273.15),n_intr_boltzmann(0,SampleDoping,K80,Temperature+273.15)))</f>
        <v/>
      </c>
      <c r="W80" s="251" t="str">
        <f t="shared" si="51"/>
        <v/>
      </c>
      <c r="X80" s="246">
        <f>IF(AND(A80&gt;TimeofMaxCD,I80&gt;Traps),IF(AugerModel="Sinton",CalcImpliedV(SampleDoping,O80),CalcImpliedVRichter(O80,SampleDoping,V80)),"")</f>
        <v>0.55400403174610369</v>
      </c>
      <c r="Y80" s="253">
        <f t="shared" si="48"/>
        <v>2.2223506410618268</v>
      </c>
      <c r="Z80" s="200" t="str">
        <f t="shared" si="49"/>
        <v/>
      </c>
      <c r="AE80" s="251">
        <f t="shared" si="50"/>
        <v>1661.568614985405</v>
      </c>
    </row>
    <row r="81" spans="1:31" x14ac:dyDescent="0.2">
      <c r="A81" s="244">
        <v>7.2500000000000004E-3</v>
      </c>
      <c r="B81" s="244">
        <v>8.9259999999999999E-3</v>
      </c>
      <c r="C81" s="245">
        <v>2.0187E-2</v>
      </c>
      <c r="D81" s="246">
        <f>IF(CouplingMode="AC",B81-(A$11-A$10)*SUM(B$9:B81)/0.21,B81)</f>
        <v>8.9259999999999999E-3</v>
      </c>
      <c r="E81" s="247">
        <f t="shared" si="38"/>
        <v>2.1272588402784551</v>
      </c>
      <c r="F81" s="247">
        <f t="shared" si="39"/>
        <v>2.1272588402784551</v>
      </c>
      <c r="G81" s="248">
        <f t="shared" si="40"/>
        <v>5.6009848865758579E+17</v>
      </c>
      <c r="H81" s="249">
        <f t="shared" si="41"/>
        <v>2.6296205081164162E-4</v>
      </c>
      <c r="I81" s="248">
        <f>IF(MobilityModel=DK,CalcDeltaN(H81,SampleDoping,Thickness,AreaFrac),CalcDeltaNDL(H81,AreaFrac,Thickness,SampleType,SampleDoping,Temperature))</f>
        <v>28225347634209.418</v>
      </c>
      <c r="J81" s="248" t="str">
        <f t="shared" si="42"/>
        <v/>
      </c>
      <c r="K81" s="248">
        <f t="shared" si="43"/>
        <v>28225347634209.418</v>
      </c>
      <c r="L81" s="250">
        <f t="shared" si="52"/>
        <v>-1.1954143532676744E+16</v>
      </c>
      <c r="M81" s="196" t="str">
        <f t="shared" si="44"/>
        <v/>
      </c>
      <c r="N81" s="196" t="str">
        <f t="shared" si="45"/>
        <v/>
      </c>
      <c r="O81" s="250">
        <f t="shared" si="46"/>
        <v>28225347634209.418</v>
      </c>
      <c r="P81" s="248">
        <f t="shared" si="53"/>
        <v>1.7624574673100287E-6</v>
      </c>
      <c r="Q81" s="250" t="str">
        <f t="shared" si="54"/>
        <v/>
      </c>
      <c r="R81" s="251" t="str">
        <f t="shared" si="57"/>
        <v/>
      </c>
      <c r="S81" s="252">
        <f>IF(AND(E81&gt;0.95*BiasLight,E81&lt;1.05*BiasLight),"",IF(AugerModel="Sinton",calclifetimeauger(Auger_Coefficient,I81,P81),calclifetimerichter(SampleType,I81,SampleDoping,P81)))</f>
        <v>567389.57746053301</v>
      </c>
      <c r="T81" s="201" t="str">
        <f t="shared" si="56"/>
        <v/>
      </c>
      <c r="U81" s="252">
        <f t="shared" si="47"/>
        <v>378791.4987284143</v>
      </c>
      <c r="V81" s="251" t="str">
        <f>IF(AugerModel="Sinton","",IF(SampleType="n-type",n_intr_boltzmann(SampleDoping,0,K81,Temperature+273.15),n_intr_boltzmann(0,SampleDoping,K81,Temperature+273.15)))</f>
        <v/>
      </c>
      <c r="W81" s="251" t="str">
        <f t="shared" si="51"/>
        <v/>
      </c>
      <c r="X81" s="246">
        <f>IF(AND(A81&gt;TimeofMaxCD,I81&gt;Traps),IF(AugerModel="Sinton",CalcImpliedV(SampleDoping,O81),CalcImpliedVRichter(O81,SampleDoping,V81)),"")</f>
        <v>0.55305531326517254</v>
      </c>
      <c r="Y81" s="253">
        <f t="shared" si="48"/>
        <v>2.1288479081491931</v>
      </c>
      <c r="Z81" s="200" t="str">
        <f t="shared" si="49"/>
        <v/>
      </c>
      <c r="AE81" s="251">
        <f t="shared" si="50"/>
        <v>1661.5875231889843</v>
      </c>
    </row>
    <row r="82" spans="1:31" x14ac:dyDescent="0.2">
      <c r="A82" s="244">
        <v>7.3499999999999998E-3</v>
      </c>
      <c r="B82" s="244">
        <v>8.2690000000000003E-3</v>
      </c>
      <c r="C82" s="245">
        <v>1.9324000000000001E-2</v>
      </c>
      <c r="D82" s="246">
        <f>IF(CouplingMode="AC",B82-(A$11-A$10)*SUM(B$9:B82)/0.21,B82)</f>
        <v>8.2690000000000003E-3</v>
      </c>
      <c r="E82" s="247">
        <f t="shared" si="38"/>
        <v>2.0363179189350014</v>
      </c>
      <c r="F82" s="247">
        <f t="shared" si="39"/>
        <v>2.0363179189350014</v>
      </c>
      <c r="G82" s="248">
        <f t="shared" si="40"/>
        <v>5.361541187308263E+17</v>
      </c>
      <c r="H82" s="249">
        <f t="shared" si="41"/>
        <v>2.4360561110736006E-4</v>
      </c>
      <c r="I82" s="248">
        <f>IF(MobilityModel=DK,CalcDeltaN(H82,SampleDoping,Thickness,AreaFrac),CalcDeltaNDL(H82,AreaFrac,Thickness,SampleType,SampleDoping,Temperature))</f>
        <v>26147115612399.453</v>
      </c>
      <c r="J82" s="248" t="str">
        <f t="shared" si="42"/>
        <v/>
      </c>
      <c r="K82" s="248">
        <f t="shared" si="43"/>
        <v>26147115612399.453</v>
      </c>
      <c r="L82" s="250">
        <f t="shared" si="52"/>
        <v>-1.3146114804488158E+16</v>
      </c>
      <c r="M82" s="196" t="str">
        <f t="shared" si="44"/>
        <v/>
      </c>
      <c r="N82" s="196" t="str">
        <f t="shared" si="45"/>
        <v/>
      </c>
      <c r="O82" s="250">
        <f t="shared" si="46"/>
        <v>26147115612399.453</v>
      </c>
      <c r="P82" s="248">
        <f t="shared" si="53"/>
        <v>1.705413294287459E-6</v>
      </c>
      <c r="Q82" s="250" t="str">
        <f t="shared" si="54"/>
        <v/>
      </c>
      <c r="R82" s="251" t="str">
        <f t="shared" si="57"/>
        <v/>
      </c>
      <c r="S82" s="252">
        <f>IF(AND(E82&gt;0.95*BiasLight,E82&lt;1.05*BiasLight),"",IF(AugerModel="Sinton",calclifetimeauger(Auger_Coefficient,I82,P82),calclifetimerichter(SampleType,I82,SampleDoping,P82)))</f>
        <v>586368.12637393363</v>
      </c>
      <c r="T82" s="201" t="str">
        <f t="shared" si="56"/>
        <v/>
      </c>
      <c r="U82" s="252">
        <f t="shared" si="47"/>
        <v>378875.63164908293</v>
      </c>
      <c r="V82" s="251" t="str">
        <f>IF(AugerModel="Sinton","",IF(SampleType="n-type",n_intr_boltzmann(SampleDoping,0,K82,Temperature+273.15),n_intr_boltzmann(0,SampleDoping,K82,Temperature+273.15)))</f>
        <v/>
      </c>
      <c r="W82" s="251" t="str">
        <f t="shared" si="51"/>
        <v/>
      </c>
      <c r="X82" s="246">
        <f>IF(AND(A82&gt;TimeofMaxCD,I82&gt;Traps),IF(AugerModel="Sinton",CalcImpliedV(SampleDoping,O82),CalcImpliedVRichter(O82,SampleDoping,V82)),"")</f>
        <v>0.55108139417097435</v>
      </c>
      <c r="Y82" s="253">
        <f t="shared" si="48"/>
        <v>2.0380654359029666</v>
      </c>
      <c r="Z82" s="200" t="str">
        <f t="shared" si="49"/>
        <v/>
      </c>
      <c r="AE82" s="251">
        <f t="shared" si="50"/>
        <v>1661.6247184004251</v>
      </c>
    </row>
    <row r="83" spans="1:31" x14ac:dyDescent="0.2">
      <c r="A83" s="244">
        <v>7.45E-3</v>
      </c>
      <c r="B83" s="244">
        <v>8.3359999999999997E-3</v>
      </c>
      <c r="C83" s="245">
        <v>1.8509999999999999E-2</v>
      </c>
      <c r="D83" s="246">
        <f>IF(CouplingMode="AC",B83-(A$11-A$10)*SUM(B$9:B83)/0.21,B83)</f>
        <v>8.3359999999999997E-3</v>
      </c>
      <c r="E83" s="247">
        <f t="shared" si="38"/>
        <v>1.950540502974895</v>
      </c>
      <c r="F83" s="247">
        <f t="shared" si="39"/>
        <v>1.950540502974895</v>
      </c>
      <c r="G83" s="248">
        <f t="shared" si="40"/>
        <v>5.1356927849863341E+17</v>
      </c>
      <c r="H83" s="249">
        <f t="shared" si="41"/>
        <v>2.4557954773609184E-4</v>
      </c>
      <c r="I83" s="248">
        <f>IF(MobilityModel=DK,CalcDeltaN(H83,SampleDoping,Thickness,AreaFrac),CalcDeltaNDL(H83,AreaFrac,Thickness,SampleType,SampleDoping,Temperature))</f>
        <v>26359045902355.516</v>
      </c>
      <c r="J83" s="248" t="str">
        <f t="shared" si="42"/>
        <v/>
      </c>
      <c r="K83" s="248">
        <f t="shared" si="43"/>
        <v>26359045902355.516</v>
      </c>
      <c r="L83" s="250">
        <f t="shared" si="52"/>
        <v>-1.08494535045338E+16</v>
      </c>
      <c r="M83" s="196" t="str">
        <f t="shared" si="44"/>
        <v/>
      </c>
      <c r="N83" s="196" t="str">
        <f t="shared" si="45"/>
        <v/>
      </c>
      <c r="O83" s="250">
        <f t="shared" si="46"/>
        <v>26359045902355.516</v>
      </c>
      <c r="P83" s="248">
        <f t="shared" si="53"/>
        <v>1.7950547423196869E-6</v>
      </c>
      <c r="Q83" s="250" t="str">
        <f t="shared" si="54"/>
        <v/>
      </c>
      <c r="R83" s="251" t="str">
        <f t="shared" si="57"/>
        <v/>
      </c>
      <c r="S83" s="252">
        <f>IF(AND(E83&gt;0.95*BiasLight,E83&lt;1.05*BiasLight),"",IF(AugerModel="Sinton",calclifetimeauger(Auger_Coefficient,I83,P83),calclifetimerichter(SampleType,I83,SampleDoping,P83)))</f>
        <v>557086.07339594455</v>
      </c>
      <c r="T83" s="201" t="str">
        <f t="shared" si="56"/>
        <v/>
      </c>
      <c r="U83" s="252">
        <f t="shared" si="47"/>
        <v>378867.05209007073</v>
      </c>
      <c r="V83" s="251" t="str">
        <f>IF(AugerModel="Sinton","",IF(SampleType="n-type",n_intr_boltzmann(SampleDoping,0,K83,Temperature+273.15),n_intr_boltzmann(0,SampleDoping,K83,Temperature+273.15)))</f>
        <v/>
      </c>
      <c r="W83" s="251" t="str">
        <f t="shared" si="51"/>
        <v/>
      </c>
      <c r="X83" s="246">
        <f>IF(AND(A83&gt;TimeofMaxCD,I83&gt;Traps),IF(AugerModel="Sinton",CalcImpliedV(SampleDoping,O83),CalcImpliedVRichter(O83,SampleDoping,V83)),"")</f>
        <v>0.5512897090401192</v>
      </c>
      <c r="Y83" s="253">
        <f t="shared" si="48"/>
        <v>1.9519827240701988</v>
      </c>
      <c r="Z83" s="200" t="str">
        <f t="shared" si="49"/>
        <v/>
      </c>
      <c r="AE83" s="251">
        <f t="shared" si="50"/>
        <v>1661.6209251885739</v>
      </c>
    </row>
    <row r="84" spans="1:31" x14ac:dyDescent="0.2">
      <c r="A84" s="244">
        <v>7.5500000000000003E-3</v>
      </c>
      <c r="B84" s="244">
        <v>7.4770000000000001E-3</v>
      </c>
      <c r="C84" s="245">
        <v>1.7722999999999999E-2</v>
      </c>
      <c r="D84" s="246">
        <f>IF(CouplingMode="AC",B84-(A$11-A$10)*SUM(B$9:B84)/0.21,B84)</f>
        <v>7.4770000000000001E-3</v>
      </c>
      <c r="E84" s="247">
        <f t="shared" si="38"/>
        <v>1.8676082838586745</v>
      </c>
      <c r="F84" s="247">
        <f t="shared" si="39"/>
        <v>1.8676082838586745</v>
      </c>
      <c r="G84" s="248">
        <f t="shared" si="40"/>
        <v>4.9173356687365101E+17</v>
      </c>
      <c r="H84" s="249">
        <f t="shared" si="41"/>
        <v>2.2027204592004954E-4</v>
      </c>
      <c r="I84" s="248">
        <f>IF(MobilityModel=DK,CalcDeltaN(H84,SampleDoping,Thickness,AreaFrac),CalcDeltaNDL(H84,AreaFrac,Thickness,SampleType,SampleDoping,Temperature))</f>
        <v>23641997419668.133</v>
      </c>
      <c r="J84" s="248" t="str">
        <f t="shared" si="42"/>
        <v/>
      </c>
      <c r="K84" s="248">
        <f t="shared" si="43"/>
        <v>23641997419668.133</v>
      </c>
      <c r="L84" s="250">
        <f t="shared" si="52"/>
        <v>-7714629965073891</v>
      </c>
      <c r="M84" s="196" t="str">
        <f t="shared" si="44"/>
        <v/>
      </c>
      <c r="N84" s="196" t="str">
        <f t="shared" si="45"/>
        <v/>
      </c>
      <c r="O84" s="250">
        <f t="shared" si="46"/>
        <v>23641997419668.133</v>
      </c>
      <c r="P84" s="248">
        <f t="shared" si="53"/>
        <v>1.6818371758609652E-6</v>
      </c>
      <c r="Q84" s="250" t="str">
        <f t="shared" si="54"/>
        <v/>
      </c>
      <c r="R84" s="251" t="str">
        <f t="shared" si="57"/>
        <v/>
      </c>
      <c r="S84" s="252">
        <f>IF(AND(E84&gt;0.95*BiasLight,E84&lt;1.05*BiasLight),"",IF(AugerModel="Sinton",calclifetimeauger(Auger_Coefficient,I84,P84),calclifetimerichter(SampleType,I84,SampleDoping,P84)))</f>
        <v>594587.87853681063</v>
      </c>
      <c r="T84" s="201" t="str">
        <f t="shared" si="56"/>
        <v/>
      </c>
      <c r="U84" s="252">
        <f t="shared" si="47"/>
        <v>378977.04617256392</v>
      </c>
      <c r="V84" s="251" t="str">
        <f>IF(AugerModel="Sinton","",IF(SampleType="n-type",n_intr_boltzmann(SampleDoping,0,K84,Temperature+273.15),n_intr_boltzmann(0,SampleDoping,K84,Temperature+273.15)))</f>
        <v/>
      </c>
      <c r="W84" s="251" t="str">
        <f t="shared" si="51"/>
        <v/>
      </c>
      <c r="X84" s="246">
        <f>IF(AND(A84&gt;TimeofMaxCD,I84&gt;Traps),IF(AugerModel="Sinton",CalcImpliedV(SampleDoping,O84),CalcImpliedVRichter(O84,SampleDoping,V84)),"")</f>
        <v>0.54848306291884519</v>
      </c>
      <c r="Y84" s="253">
        <f t="shared" si="48"/>
        <v>1.8686337919244442</v>
      </c>
      <c r="Z84" s="200" t="str">
        <f t="shared" si="49"/>
        <v/>
      </c>
      <c r="AE84" s="251">
        <f t="shared" si="50"/>
        <v>1661.6695591602215</v>
      </c>
    </row>
    <row r="85" spans="1:31" x14ac:dyDescent="0.2">
      <c r="A85" s="244">
        <v>7.6499999999999997E-3</v>
      </c>
      <c r="B85" s="244">
        <v>7.607E-3</v>
      </c>
      <c r="C85" s="245">
        <v>1.6959999999999999E-2</v>
      </c>
      <c r="D85" s="246">
        <f>IF(CouplingMode="AC",B85-(A$11-A$10)*SUM(B$9:B85)/0.21,B85)</f>
        <v>7.607E-3</v>
      </c>
      <c r="E85" s="247">
        <f t="shared" si="38"/>
        <v>1.7872051286036854</v>
      </c>
      <c r="F85" s="247">
        <f t="shared" si="39"/>
        <v>1.7872051286036854</v>
      </c>
      <c r="G85" s="248">
        <f t="shared" si="40"/>
        <v>4.7056374734396666E+17</v>
      </c>
      <c r="H85" s="249">
        <f t="shared" si="41"/>
        <v>2.2410203342334775E-4</v>
      </c>
      <c r="I85" s="248">
        <f>IF(MobilityModel=DK,CalcDeltaN(H85,SampleDoping,Thickness,AreaFrac),CalcDeltaNDL(H85,AreaFrac,Thickness,SampleType,SampleDoping,Temperature))</f>
        <v>24053179978308.184</v>
      </c>
      <c r="J85" s="248" t="str">
        <f t="shared" si="42"/>
        <v/>
      </c>
      <c r="K85" s="248">
        <f t="shared" si="43"/>
        <v>24053179978308.184</v>
      </c>
      <c r="L85" s="250">
        <f t="shared" si="52"/>
        <v>-1.0605321351002376E+16</v>
      </c>
      <c r="M85" s="196" t="str">
        <f t="shared" si="44"/>
        <v/>
      </c>
      <c r="N85" s="196" t="str">
        <f t="shared" si="45"/>
        <v/>
      </c>
      <c r="O85" s="250">
        <f t="shared" si="46"/>
        <v>24053179978308.184</v>
      </c>
      <c r="P85" s="248">
        <f t="shared" si="53"/>
        <v>1.7876382472222386E-6</v>
      </c>
      <c r="Q85" s="250" t="str">
        <f t="shared" si="54"/>
        <v/>
      </c>
      <c r="R85" s="251" t="str">
        <f t="shared" si="57"/>
        <v/>
      </c>
      <c r="S85" s="252">
        <f>IF(AND(E85&gt;0.95*BiasLight,E85&lt;1.05*BiasLight),"",IF(AugerModel="Sinton",calclifetimeauger(Auger_Coefficient,I85,P85),calclifetimerichter(SampleType,I85,SampleDoping,P85)))</f>
        <v>559397.29407614807</v>
      </c>
      <c r="T85" s="201" t="str">
        <f t="shared" si="56"/>
        <v/>
      </c>
      <c r="U85" s="252">
        <f t="shared" si="47"/>
        <v>378960.40029798233</v>
      </c>
      <c r="V85" s="251" t="str">
        <f>IF(AugerModel="Sinton","",IF(SampleType="n-type",n_intr_boltzmann(SampleDoping,0,K85,Temperature+273.15),n_intr_boltzmann(0,SampleDoping,K85,Temperature+273.15)))</f>
        <v/>
      </c>
      <c r="W85" s="251" t="str">
        <f t="shared" si="51"/>
        <v/>
      </c>
      <c r="X85" s="246">
        <f>IF(AND(A85&gt;TimeofMaxCD,I85&gt;Traps),IF(AugerModel="Sinton",CalcImpliedV(SampleDoping,O85),CalcImpliedVRichter(O85,SampleDoping,V85)),"")</f>
        <v>0.54892782660607631</v>
      </c>
      <c r="Y85" s="253">
        <f t="shared" si="48"/>
        <v>1.7886148971388935</v>
      </c>
      <c r="Z85" s="200" t="str">
        <f t="shared" si="49"/>
        <v/>
      </c>
      <c r="AE85" s="251">
        <f t="shared" si="50"/>
        <v>1661.6621987322314</v>
      </c>
    </row>
    <row r="86" spans="1:31" x14ac:dyDescent="0.2">
      <c r="A86" s="244">
        <v>7.7499999999999999E-3</v>
      </c>
      <c r="B86" s="244">
        <v>7.4139999999999996E-3</v>
      </c>
      <c r="C86" s="245">
        <v>1.6253E-2</v>
      </c>
      <c r="D86" s="246">
        <f>IF(CouplingMode="AC",B86-(A$11-A$10)*SUM(B$9:B86)/0.21,B86)</f>
        <v>7.4139999999999996E-3</v>
      </c>
      <c r="E86" s="247">
        <f t="shared" si="38"/>
        <v>1.7127031223582372</v>
      </c>
      <c r="F86" s="247">
        <f t="shared" si="39"/>
        <v>1.7127031223582372</v>
      </c>
      <c r="G86" s="248">
        <f t="shared" si="40"/>
        <v>4.5094767603664454E+17</v>
      </c>
      <c r="H86" s="249">
        <f t="shared" si="41"/>
        <v>2.1841597743845614E-4</v>
      </c>
      <c r="I86" s="248">
        <f>IF(MobilityModel=DK,CalcDeltaN(H86,SampleDoping,Thickness,AreaFrac),CalcDeltaNDL(H86,AreaFrac,Thickness,SampleType,SampleDoping,Temperature))</f>
        <v>23442733591886.176</v>
      </c>
      <c r="J86" s="248" t="str">
        <f t="shared" si="42"/>
        <v/>
      </c>
      <c r="K86" s="248">
        <f t="shared" si="43"/>
        <v>23442733591886.176</v>
      </c>
      <c r="L86" s="250">
        <f t="shared" si="52"/>
        <v>-1.270793967713673E+16</v>
      </c>
      <c r="M86" s="196" t="str">
        <f t="shared" si="44"/>
        <v/>
      </c>
      <c r="N86" s="196" t="str">
        <f t="shared" si="45"/>
        <v/>
      </c>
      <c r="O86" s="250">
        <f t="shared" si="46"/>
        <v>23442733591886.176</v>
      </c>
      <c r="P86" s="248">
        <f t="shared" si="53"/>
        <v>1.8176991409158953E-6</v>
      </c>
      <c r="Q86" s="250" t="str">
        <f t="shared" si="54"/>
        <v/>
      </c>
      <c r="R86" s="251" t="str">
        <f t="shared" si="57"/>
        <v/>
      </c>
      <c r="S86" s="252">
        <f>IF(AND(E86&gt;0.95*BiasLight,E86&lt;1.05*BiasLight),"",IF(AugerModel="Sinton",calclifetimeauger(Auger_Coefficient,I86,P86),calclifetimerichter(SampleType,I86,SampleDoping,P86)))</f>
        <v>550146.04773256753</v>
      </c>
      <c r="T86" s="201" t="str">
        <f t="shared" si="56"/>
        <v/>
      </c>
      <c r="U86" s="252">
        <f t="shared" si="47"/>
        <v>378985.11295607936</v>
      </c>
      <c r="V86" s="251" t="str">
        <f>IF(AugerModel="Sinton","",IF(SampleType="n-type",n_intr_boltzmann(SampleDoping,0,K86,Temperature+273.15),n_intr_boltzmann(0,SampleDoping,K86,Temperature+273.15)))</f>
        <v/>
      </c>
      <c r="W86" s="251" t="str">
        <f t="shared" si="51"/>
        <v/>
      </c>
      <c r="X86" s="246">
        <f>IF(AND(A86&gt;TimeofMaxCD,I86&gt;Traps),IF(AugerModel="Sinton",CalcImpliedV(SampleDoping,O86),CalcImpliedVRichter(O86,SampleDoping,V86)),"")</f>
        <v>0.54826474624705057</v>
      </c>
      <c r="Y86" s="253">
        <f t="shared" si="48"/>
        <v>1.7143923925756321</v>
      </c>
      <c r="Z86" s="200" t="str">
        <f t="shared" si="49"/>
        <v/>
      </c>
      <c r="AE86" s="251">
        <f t="shared" si="50"/>
        <v>1661.6731261654434</v>
      </c>
    </row>
    <row r="87" spans="1:31" x14ac:dyDescent="0.2">
      <c r="A87" s="244">
        <v>7.8499999999999993E-3</v>
      </c>
      <c r="B87" s="244">
        <v>6.6909999999999999E-3</v>
      </c>
      <c r="C87" s="245">
        <v>1.5546000000000001E-2</v>
      </c>
      <c r="D87" s="246">
        <f>IF(CouplingMode="AC",B87-(A$11-A$10)*SUM(B$9:B87)/0.21,B87)</f>
        <v>6.6909999999999999E-3</v>
      </c>
      <c r="E87" s="247">
        <f t="shared" si="38"/>
        <v>1.6382011161127887</v>
      </c>
      <c r="F87" s="247">
        <f t="shared" si="39"/>
        <v>1.6382011161127887</v>
      </c>
      <c r="G87" s="248">
        <f t="shared" si="40"/>
        <v>4.313316047293223E+17</v>
      </c>
      <c r="H87" s="249">
        <f t="shared" si="41"/>
        <v>1.9711549349328214E-4</v>
      </c>
      <c r="I87" s="248">
        <f>IF(MobilityModel=DK,CalcDeltaN(H87,SampleDoping,Thickness,AreaFrac),CalcDeltaNDL(H87,AreaFrac,Thickness,SampleType,SampleDoping,Temperature))</f>
        <v>21156017140745.316</v>
      </c>
      <c r="J87" s="248" t="str">
        <f t="shared" si="42"/>
        <v/>
      </c>
      <c r="K87" s="248">
        <f t="shared" si="43"/>
        <v>21156017140745.316</v>
      </c>
      <c r="L87" s="250">
        <f t="shared" si="52"/>
        <v>-1.7369582014392114E+16</v>
      </c>
      <c r="M87" s="196" t="str">
        <f t="shared" si="44"/>
        <v/>
      </c>
      <c r="N87" s="196" t="str">
        <f t="shared" si="45"/>
        <v/>
      </c>
      <c r="O87" s="250">
        <f t="shared" si="46"/>
        <v>21156017140745.316</v>
      </c>
      <c r="P87" s="248">
        <f t="shared" si="53"/>
        <v>1.7142690844069461E-6</v>
      </c>
      <c r="Q87" s="250" t="str">
        <f t="shared" si="54"/>
        <v/>
      </c>
      <c r="R87" s="251" t="str">
        <f t="shared" si="57"/>
        <v/>
      </c>
      <c r="S87" s="252">
        <f>IF(AND(E87&gt;0.95*BiasLight,E87&lt;1.05*BiasLight),"",IF(AugerModel="Sinton",calclifetimeauger(Auger_Coefficient,I87,P87),calclifetimerichter(SampleType,I87,SampleDoping,P87)))</f>
        <v>583338.99142344238</v>
      </c>
      <c r="T87" s="201" t="str">
        <f t="shared" si="56"/>
        <v/>
      </c>
      <c r="U87" s="252">
        <f t="shared" si="47"/>
        <v>379077.6859372271</v>
      </c>
      <c r="V87" s="251" t="str">
        <f>IF(AugerModel="Sinton","",IF(SampleType="n-type",n_intr_boltzmann(SampleDoping,0,K87,Temperature+273.15),n_intr_boltzmann(0,SampleDoping,K87,Temperature+273.15)))</f>
        <v/>
      </c>
      <c r="W87" s="251" t="str">
        <f t="shared" si="51"/>
        <v/>
      </c>
      <c r="X87" s="246">
        <f>IF(AND(A87&gt;TimeofMaxCD,I87&gt;Traps),IF(AugerModel="Sinton",CalcImpliedV(SampleDoping,O87),CalcImpliedVRichter(O87,SampleDoping,V87)),"")</f>
        <v>0.54561799155521107</v>
      </c>
      <c r="Y87" s="253">
        <f t="shared" si="48"/>
        <v>1.6405100598385993</v>
      </c>
      <c r="Z87" s="200" t="str">
        <f t="shared" si="49"/>
        <v/>
      </c>
      <c r="AE87" s="251">
        <f t="shared" si="50"/>
        <v>1661.7140631327595</v>
      </c>
    </row>
    <row r="88" spans="1:31" x14ac:dyDescent="0.2">
      <c r="A88" s="244">
        <v>7.9500000000000005E-3</v>
      </c>
      <c r="B88" s="244">
        <v>5.9259999999999998E-3</v>
      </c>
      <c r="C88" s="245">
        <v>1.4911000000000001E-2</v>
      </c>
      <c r="D88" s="246">
        <f>IF(CouplingMode="AC",B88-(A$11-A$10)*SUM(B$9:B88)/0.21,B88)</f>
        <v>5.9259999999999998E-3</v>
      </c>
      <c r="E88" s="247">
        <f t="shared" si="38"/>
        <v>1.5712863014510352</v>
      </c>
      <c r="F88" s="247">
        <f t="shared" si="39"/>
        <v>1.5712863014510352</v>
      </c>
      <c r="G88" s="248">
        <f t="shared" si="40"/>
        <v>4.1371320970789434E+17</v>
      </c>
      <c r="H88" s="249">
        <f t="shared" si="41"/>
        <v>1.7457786035576447E-4</v>
      </c>
      <c r="I88" s="248">
        <f>IF(MobilityModel=DK,CalcDeltaN(H88,SampleDoping,Thickness,AreaFrac),CalcDeltaNDL(H88,AreaFrac,Thickness,SampleType,SampleDoping,Temperature))</f>
        <v>18736608999881.207</v>
      </c>
      <c r="J88" s="248" t="str">
        <f t="shared" si="42"/>
        <v/>
      </c>
      <c r="K88" s="248">
        <f t="shared" si="43"/>
        <v>18736608999881.207</v>
      </c>
      <c r="L88" s="250">
        <f t="shared" si="52"/>
        <v>-1.3846166998666256E+16</v>
      </c>
      <c r="M88" s="196" t="str">
        <f t="shared" si="44"/>
        <v/>
      </c>
      <c r="N88" s="196" t="str">
        <f t="shared" si="45"/>
        <v/>
      </c>
      <c r="O88" s="250">
        <f t="shared" si="46"/>
        <v>18736608999881.207</v>
      </c>
      <c r="P88" s="248">
        <f t="shared" si="53"/>
        <v>1.5832562957580542E-6</v>
      </c>
      <c r="Q88" s="250" t="str">
        <f t="shared" si="54"/>
        <v/>
      </c>
      <c r="R88" s="251" t="str">
        <f t="shared" si="57"/>
        <v/>
      </c>
      <c r="S88" s="252">
        <f>IF(AND(E88&gt;0.95*BiasLight,E88&lt;1.05*BiasLight),"",IF(AugerModel="Sinton",calclifetimeauger(Auger_Coefficient,I88,P88),calclifetimerichter(SampleType,I88,SampleDoping,P88)))</f>
        <v>631609.6779508125</v>
      </c>
      <c r="T88" s="201" t="str">
        <f t="shared" si="56"/>
        <v/>
      </c>
      <c r="U88" s="252">
        <f t="shared" si="47"/>
        <v>379175.63066671073</v>
      </c>
      <c r="V88" s="251" t="str">
        <f>IF(AugerModel="Sinton","",IF(SampleType="n-type",n_intr_boltzmann(SampleDoping,0,K88,Temperature+273.15),n_intr_boltzmann(0,SampleDoping,K88,Temperature+273.15)))</f>
        <v/>
      </c>
      <c r="W88" s="251" t="str">
        <f t="shared" si="51"/>
        <v/>
      </c>
      <c r="X88" s="246">
        <f>IF(AND(A88&gt;TimeofMaxCD,I88&gt;Traps),IF(AugerModel="Sinton",CalcImpliedV(SampleDoping,O88),CalcImpliedVRichter(O88,SampleDoping,V88)),"")</f>
        <v>0.54248745153127453</v>
      </c>
      <c r="Y88" s="253">
        <f t="shared" si="48"/>
        <v>1.5731268765662918</v>
      </c>
      <c r="Z88" s="200" t="str">
        <f t="shared" si="49"/>
        <v/>
      </c>
      <c r="AE88" s="251">
        <f t="shared" si="50"/>
        <v>1661.7573808578372</v>
      </c>
    </row>
    <row r="89" spans="1:31" x14ac:dyDescent="0.2">
      <c r="A89" s="244">
        <v>8.0499999999999999E-3</v>
      </c>
      <c r="B89" s="244">
        <v>5.6049999999999997E-3</v>
      </c>
      <c r="C89" s="245">
        <v>1.4271000000000001E-2</v>
      </c>
      <c r="D89" s="246">
        <f>IF(CouplingMode="AC",B89-(A$11-A$10)*SUM(B$9:B89)/0.21,B89)</f>
        <v>5.6049999999999997E-3</v>
      </c>
      <c r="E89" s="247">
        <f t="shared" si="38"/>
        <v>1.5038445984848583</v>
      </c>
      <c r="F89" s="247">
        <f t="shared" si="39"/>
        <v>1.5038445984848583</v>
      </c>
      <c r="G89" s="248">
        <f t="shared" si="40"/>
        <v>3.9595608716661261E+17</v>
      </c>
      <c r="H89" s="249">
        <f t="shared" si="41"/>
        <v>1.6512096111606991E-4</v>
      </c>
      <c r="I89" s="248">
        <f>IF(MobilityModel=DK,CalcDeltaN(H89,SampleDoping,Thickness,AreaFrac),CalcDeltaNDL(H89,AreaFrac,Thickness,SampleType,SampleDoping,Temperature))</f>
        <v>17721451267114.605</v>
      </c>
      <c r="J89" s="248" t="str">
        <f t="shared" si="42"/>
        <v/>
      </c>
      <c r="K89" s="248">
        <f t="shared" si="43"/>
        <v>17721451267114.605</v>
      </c>
      <c r="L89" s="250">
        <f t="shared" si="52"/>
        <v>-7710350897621802</v>
      </c>
      <c r="M89" s="196" t="str">
        <f t="shared" si="44"/>
        <v/>
      </c>
      <c r="N89" s="196" t="str">
        <f t="shared" si="45"/>
        <v/>
      </c>
      <c r="O89" s="250">
        <f t="shared" si="46"/>
        <v>17721451267114.605</v>
      </c>
      <c r="P89" s="248">
        <f t="shared" si="53"/>
        <v>1.565396701586719E-6</v>
      </c>
      <c r="Q89" s="250" t="str">
        <f t="shared" si="54"/>
        <v/>
      </c>
      <c r="R89" s="251" t="str">
        <f t="shared" si="57"/>
        <v/>
      </c>
      <c r="S89" s="252">
        <f>IF(AND(E89&gt;0.95*BiasLight,E89&lt;1.05*BiasLight),"",IF(AugerModel="Sinton",calclifetimeauger(Auger_Coefficient,I89,P89),calclifetimerichter(SampleType,I89,SampleDoping,P89)))</f>
        <v>638815.7060573221</v>
      </c>
      <c r="T89" s="201" t="str">
        <f t="shared" si="56"/>
        <v/>
      </c>
      <c r="U89" s="252">
        <f t="shared" si="47"/>
        <v>379216.72722575744</v>
      </c>
      <c r="V89" s="251" t="str">
        <f>IF(AugerModel="Sinton","",IF(SampleType="n-type",n_intr_boltzmann(SampleDoping,0,K89,Temperature+273.15),n_intr_boltzmann(0,SampleDoping,K89,Temperature+273.15)))</f>
        <v/>
      </c>
      <c r="W89" s="251" t="str">
        <f t="shared" si="51"/>
        <v/>
      </c>
      <c r="X89" s="246">
        <f>IF(AND(A89&gt;TimeofMaxCD,I89&gt;Traps),IF(AugerModel="Sinton",CalcImpliedV(SampleDoping,O89),CalcImpliedVRichter(O89,SampleDoping,V89)),"")</f>
        <v>0.54105197349162437</v>
      </c>
      <c r="Y89" s="253">
        <f t="shared" si="48"/>
        <v>1.5048695377329138</v>
      </c>
      <c r="Z89" s="200" t="str">
        <f t="shared" si="49"/>
        <v/>
      </c>
      <c r="AE89" s="251">
        <f t="shared" si="50"/>
        <v>1661.7755581349645</v>
      </c>
    </row>
    <row r="90" spans="1:31" x14ac:dyDescent="0.2">
      <c r="A90" s="244">
        <v>8.1499999999999993E-3</v>
      </c>
      <c r="B90" s="244">
        <v>5.7679999999999997E-3</v>
      </c>
      <c r="C90" s="245">
        <v>1.3691E-2</v>
      </c>
      <c r="D90" s="246">
        <f>IF(CouplingMode="AC",B90-(A$11-A$10)*SUM(B$9:B90)/0.21,B90)</f>
        <v>5.7679999999999997E-3</v>
      </c>
      <c r="E90" s="247">
        <f t="shared" si="38"/>
        <v>1.4427255551717606</v>
      </c>
      <c r="F90" s="247">
        <f t="shared" si="39"/>
        <v>1.4427255551717606</v>
      </c>
      <c r="G90" s="248">
        <f t="shared" si="40"/>
        <v>3.7986369486357594E+17</v>
      </c>
      <c r="H90" s="249">
        <f t="shared" si="41"/>
        <v>1.6992305754666079E-4</v>
      </c>
      <c r="I90" s="248">
        <f>IF(MobilityModel=DK,CalcDeltaN(H90,SampleDoping,Thickness,AreaFrac),CalcDeltaNDL(H90,AreaFrac,Thickness,SampleType,SampleDoping,Temperature))</f>
        <v>18236933029368.414</v>
      </c>
      <c r="J90" s="248" t="str">
        <f t="shared" si="42"/>
        <v/>
      </c>
      <c r="K90" s="248">
        <f t="shared" si="43"/>
        <v>18236933029368.414</v>
      </c>
      <c r="L90" s="250">
        <f t="shared" si="52"/>
        <v>-4496987315634992.5</v>
      </c>
      <c r="M90" s="196" t="str">
        <f t="shared" si="44"/>
        <v/>
      </c>
      <c r="N90" s="196" t="str">
        <f t="shared" si="45"/>
        <v/>
      </c>
      <c r="O90" s="250">
        <f t="shared" si="46"/>
        <v>18236933029368.414</v>
      </c>
      <c r="P90" s="248">
        <f t="shared" si="53"/>
        <v>1.6796242992795731E-6</v>
      </c>
      <c r="Q90" s="250" t="str">
        <f t="shared" si="54"/>
        <v/>
      </c>
      <c r="R90" s="251" t="str">
        <f t="shared" si="57"/>
        <v/>
      </c>
      <c r="S90" s="252">
        <f>IF(AND(E90&gt;0.95*BiasLight,E90&lt;1.05*BiasLight),"",IF(AugerModel="Sinton",calclifetimeauger(Auger_Coefficient,I90,P90),calclifetimerichter(SampleType,I90,SampleDoping,P90)))</f>
        <v>595371.23837849556</v>
      </c>
      <c r="T90" s="201" t="str">
        <f t="shared" si="56"/>
        <v/>
      </c>
      <c r="U90" s="252">
        <f t="shared" si="47"/>
        <v>379195.8590138568</v>
      </c>
      <c r="V90" s="251" t="str">
        <f>IF(AugerModel="Sinton","",IF(SampleType="n-type",n_intr_boltzmann(SampleDoping,0,K90,Temperature+273.15),n_intr_boltzmann(0,SampleDoping,K90,Temperature+273.15)))</f>
        <v/>
      </c>
      <c r="W90" s="251" t="str">
        <f t="shared" si="51"/>
        <v/>
      </c>
      <c r="X90" s="246">
        <f>IF(AND(A90&gt;TimeofMaxCD,I90&gt;Traps),IF(AugerModel="Sinton",CalcImpliedV(SampleDoping,O90),CalcImpliedVRichter(O90,SampleDoping,V90)),"")</f>
        <v>0.54179084518392395</v>
      </c>
      <c r="Y90" s="253">
        <f t="shared" si="48"/>
        <v>1.4433233410389668</v>
      </c>
      <c r="Z90" s="200" t="str">
        <f t="shared" si="49"/>
        <v/>
      </c>
      <c r="AE90" s="251">
        <f t="shared" si="50"/>
        <v>1661.7663278682387</v>
      </c>
    </row>
    <row r="91" spans="1:31" x14ac:dyDescent="0.2">
      <c r="A91" s="244">
        <v>8.2500000000000004E-3</v>
      </c>
      <c r="B91" s="244">
        <v>5.5510000000000004E-3</v>
      </c>
      <c r="C91" s="245">
        <v>1.3103E-2</v>
      </c>
      <c r="D91" s="246">
        <f>IF(CouplingMode="AC",B91-(A$11-A$10)*SUM(B$9:B91)/0.21,B91)</f>
        <v>5.5510000000000004E-3</v>
      </c>
      <c r="E91" s="247">
        <f t="shared" si="38"/>
        <v>1.3807634905715855</v>
      </c>
      <c r="F91" s="247">
        <f t="shared" si="39"/>
        <v>1.3807634905715855</v>
      </c>
      <c r="G91" s="248">
        <f t="shared" si="40"/>
        <v>3.6354933852877331E+17</v>
      </c>
      <c r="H91" s="249">
        <f t="shared" si="41"/>
        <v>1.6353008484285003E-4</v>
      </c>
      <c r="I91" s="248">
        <f>IF(MobilityModel=DK,CalcDeltaN(H91,SampleDoping,Thickness,AreaFrac),CalcDeltaNDL(H91,AreaFrac,Thickness,SampleType,SampleDoping,Temperature))</f>
        <v>17550679677190.812</v>
      </c>
      <c r="J91" s="248" t="str">
        <f t="shared" si="42"/>
        <v/>
      </c>
      <c r="K91" s="248">
        <f t="shared" si="43"/>
        <v>17550679677190.812</v>
      </c>
      <c r="L91" s="250">
        <f t="shared" si="52"/>
        <v>-7026751351308127</v>
      </c>
      <c r="M91" s="196" t="str">
        <f t="shared" si="44"/>
        <v/>
      </c>
      <c r="N91" s="196" t="str">
        <f t="shared" si="45"/>
        <v/>
      </c>
      <c r="O91" s="250">
        <f t="shared" si="46"/>
        <v>17550679677190.812</v>
      </c>
      <c r="P91" s="248">
        <f t="shared" si="53"/>
        <v>1.6885150281167433E-6</v>
      </c>
      <c r="Q91" s="250" t="str">
        <f t="shared" si="54"/>
        <v/>
      </c>
      <c r="R91" s="251" t="str">
        <f t="shared" si="57"/>
        <v/>
      </c>
      <c r="S91" s="252">
        <f>IF(AND(E91&gt;0.95*BiasLight,E91&lt;1.05*BiasLight),"",IF(AugerModel="Sinton",calclifetimeauger(Auger_Coefficient,I91,P91),calclifetimerichter(SampleType,I91,SampleDoping,P91)))</f>
        <v>592236.3630082435</v>
      </c>
      <c r="T91" s="201" t="str">
        <f t="shared" si="56"/>
        <v/>
      </c>
      <c r="U91" s="252">
        <f t="shared" si="47"/>
        <v>379223.64056001307</v>
      </c>
      <c r="V91" s="251" t="str">
        <f>IF(AugerModel="Sinton","",IF(SampleType="n-type",n_intr_boltzmann(SampleDoping,0,K91,Temperature+273.15),n_intr_boltzmann(0,SampleDoping,K91,Temperature+273.15)))</f>
        <v/>
      </c>
      <c r="W91" s="251" t="str">
        <f t="shared" si="51"/>
        <v/>
      </c>
      <c r="X91" s="246">
        <f>IF(AND(A91&gt;TimeofMaxCD,I91&gt;Traps),IF(AugerModel="Sinton",CalcImpliedV(SampleDoping,O91),CalcImpliedVRichter(O91,SampleDoping,V91)),"")</f>
        <v>0.54080246333443094</v>
      </c>
      <c r="Y91" s="253">
        <f t="shared" si="48"/>
        <v>1.3816975587277445</v>
      </c>
      <c r="Z91" s="200" t="str">
        <f t="shared" si="49"/>
        <v/>
      </c>
      <c r="AE91" s="251">
        <f t="shared" si="50"/>
        <v>1661.7786160423043</v>
      </c>
    </row>
    <row r="92" spans="1:31" x14ac:dyDescent="0.2">
      <c r="A92" s="244">
        <v>8.3499999999999998E-3</v>
      </c>
      <c r="B92" s="244">
        <v>5.2420000000000001E-3</v>
      </c>
      <c r="C92" s="245">
        <v>1.2543E-2</v>
      </c>
      <c r="D92" s="246">
        <f>IF(CouplingMode="AC",B92-(A$11-A$10)*SUM(B$9:B92)/0.21,B92)</f>
        <v>5.2420000000000001E-3</v>
      </c>
      <c r="E92" s="247">
        <f t="shared" si="38"/>
        <v>1.3217520004761809</v>
      </c>
      <c r="F92" s="247">
        <f t="shared" si="39"/>
        <v>1.3217520004761809</v>
      </c>
      <c r="G92" s="248">
        <f t="shared" si="40"/>
        <v>3.4801185630515174E+17</v>
      </c>
      <c r="H92" s="249">
        <f t="shared" si="41"/>
        <v>1.5442675928465169E-4</v>
      </c>
      <c r="I92" s="248">
        <f>IF(MobilityModel=DK,CalcDeltaN(H92,SampleDoping,Thickness,AreaFrac),CalcDeltaNDL(H92,AreaFrac,Thickness,SampleType,SampleDoping,Temperature))</f>
        <v>16573501137025.609</v>
      </c>
      <c r="J92" s="248" t="str">
        <f t="shared" si="42"/>
        <v/>
      </c>
      <c r="K92" s="248">
        <f t="shared" si="43"/>
        <v>16573501137025.609</v>
      </c>
      <c r="L92" s="250">
        <f t="shared" si="52"/>
        <v>-9948698481482386</v>
      </c>
      <c r="M92" s="196" t="str">
        <f t="shared" si="44"/>
        <v/>
      </c>
      <c r="N92" s="196" t="str">
        <f t="shared" si="45"/>
        <v/>
      </c>
      <c r="O92" s="250">
        <f t="shared" si="46"/>
        <v>16573501137025.609</v>
      </c>
      <c r="P92" s="248">
        <f t="shared" si="53"/>
        <v>1.6651522523669785E-6</v>
      </c>
      <c r="Q92" s="250" t="str">
        <f t="shared" si="54"/>
        <v/>
      </c>
      <c r="R92" s="251" t="str">
        <f t="shared" si="57"/>
        <v/>
      </c>
      <c r="S92" s="252">
        <f>IF(AND(E92&gt;0.95*BiasLight,E92&lt;1.05*BiasLight),"",IF(AugerModel="Sinton",calclifetimeauger(Auger_Coefficient,I92,P92),calclifetimerichter(SampleType,I92,SampleDoping,P92)))</f>
        <v>600545.68452780286</v>
      </c>
      <c r="T92" s="201" t="str">
        <f t="shared" si="56"/>
        <v/>
      </c>
      <c r="U92" s="252">
        <f t="shared" si="47"/>
        <v>379263.19961007871</v>
      </c>
      <c r="V92" s="251" t="str">
        <f>IF(AugerModel="Sinton","",IF(SampleType="n-type",n_intr_boltzmann(SampleDoping,0,K92,Temperature+273.15),n_intr_boltzmann(0,SampleDoping,K92,Temperature+273.15)))</f>
        <v/>
      </c>
      <c r="W92" s="251" t="str">
        <f t="shared" si="51"/>
        <v/>
      </c>
      <c r="X92" s="246">
        <f>IF(AND(A92&gt;TimeofMaxCD,I92&gt;Traps),IF(AugerModel="Sinton",CalcImpliedV(SampleDoping,O92),CalcImpliedVRichter(O92,SampleDoping,V92)),"")</f>
        <v>0.53932645547353109</v>
      </c>
      <c r="Y92" s="253">
        <f t="shared" si="48"/>
        <v>1.3230744839371975</v>
      </c>
      <c r="Z92" s="200" t="str">
        <f t="shared" si="49"/>
        <v/>
      </c>
      <c r="AE92" s="251">
        <f t="shared" si="50"/>
        <v>1661.7961143315326</v>
      </c>
    </row>
    <row r="93" spans="1:31" x14ac:dyDescent="0.2">
      <c r="A93" s="244">
        <v>8.4499999999999992E-3</v>
      </c>
      <c r="B93" s="244">
        <v>4.7569999999999999E-3</v>
      </c>
      <c r="C93" s="245">
        <v>1.2E-2</v>
      </c>
      <c r="D93" s="246">
        <f>IF(CouplingMode="AC",B93-(A$11-A$10)*SUM(B$9:B93)/0.21,B93)</f>
        <v>4.7569999999999999E-3</v>
      </c>
      <c r="E93" s="247">
        <f t="shared" si="38"/>
        <v>1.2645319306158154</v>
      </c>
      <c r="F93" s="247">
        <f t="shared" si="39"/>
        <v>1.2645319306158154</v>
      </c>
      <c r="G93" s="248">
        <f t="shared" si="40"/>
        <v>3.3294604764903309E+17</v>
      </c>
      <c r="H93" s="249">
        <f t="shared" si="41"/>
        <v>1.4013844358444841E-4</v>
      </c>
      <c r="I93" s="248">
        <f>IF(MobilityModel=DK,CalcDeltaN(H93,SampleDoping,Thickness,AreaFrac),CalcDeltaNDL(H93,AreaFrac,Thickness,SampleType,SampleDoping,Temperature))</f>
        <v>15039791537631.945</v>
      </c>
      <c r="J93" s="248" t="str">
        <f t="shared" si="42"/>
        <v/>
      </c>
      <c r="K93" s="248">
        <f t="shared" si="43"/>
        <v>15039791537631.945</v>
      </c>
      <c r="L93" s="250">
        <f t="shared" si="52"/>
        <v>-1.1327164127759416E+16</v>
      </c>
      <c r="M93" s="196" t="str">
        <f t="shared" si="44"/>
        <v/>
      </c>
      <c r="N93" s="196" t="str">
        <f t="shared" si="45"/>
        <v/>
      </c>
      <c r="O93" s="250">
        <f t="shared" si="46"/>
        <v>15039791537631.945</v>
      </c>
      <c r="P93" s="248">
        <f t="shared" si="53"/>
        <v>1.5791346928579185E-6</v>
      </c>
      <c r="Q93" s="250" t="str">
        <f t="shared" si="54"/>
        <v/>
      </c>
      <c r="R93" s="251" t="str">
        <f t="shared" si="57"/>
        <v/>
      </c>
      <c r="S93" s="252">
        <f>IF(AND(E93&gt;0.95*BiasLight,E93&lt;1.05*BiasLight),"",IF(AugerModel="Sinton",calclifetimeauger(Auger_Coefficient,I93,P93),calclifetimerichter(SampleType,I93,SampleDoping,P93)))</f>
        <v>633258.20395805466</v>
      </c>
      <c r="T93" s="201" t="str">
        <f t="shared" si="56"/>
        <v/>
      </c>
      <c r="U93" s="252">
        <f t="shared" si="47"/>
        <v>379325.28866784531</v>
      </c>
      <c r="V93" s="251" t="str">
        <f>IF(AugerModel="Sinton","",IF(SampleType="n-type",n_intr_boltzmann(SampleDoping,0,K93,Temperature+273.15),n_intr_boltzmann(0,SampleDoping,K93,Temperature+273.15)))</f>
        <v/>
      </c>
      <c r="W93" s="251" t="str">
        <f t="shared" si="51"/>
        <v/>
      </c>
      <c r="X93" s="246">
        <f>IF(AND(A93&gt;TimeofMaxCD,I93&gt;Traps),IF(AugerModel="Sinton",CalcImpliedV(SampleDoping,O93),CalcImpliedVRichter(O93,SampleDoping,V93)),"")</f>
        <v>0.53682507661390599</v>
      </c>
      <c r="Y93" s="253">
        <f t="shared" si="48"/>
        <v>1.2660376539269662</v>
      </c>
      <c r="Z93" s="200" t="str">
        <f t="shared" si="49"/>
        <v/>
      </c>
      <c r="AE93" s="251">
        <f t="shared" si="50"/>
        <v>1661.8235801899827</v>
      </c>
    </row>
    <row r="94" spans="1:31" x14ac:dyDescent="0.2">
      <c r="A94" s="244">
        <v>8.5500000000000003E-3</v>
      </c>
      <c r="B94" s="244">
        <v>4.5919999999999997E-3</v>
      </c>
      <c r="C94" s="245">
        <v>1.1488999999999999E-2</v>
      </c>
      <c r="D94" s="246">
        <f>IF(CouplingMode="AC",B94-(A$11-A$10)*SUM(B$9:B94)/0.21,B94)</f>
        <v>4.5919999999999997E-3</v>
      </c>
      <c r="E94" s="247">
        <f t="shared" si="38"/>
        <v>1.2106839459037584</v>
      </c>
      <c r="F94" s="247">
        <f t="shared" si="39"/>
        <v>1.2106839459037584</v>
      </c>
      <c r="G94" s="248">
        <f t="shared" si="40"/>
        <v>3.1876809511997837E+17</v>
      </c>
      <c r="H94" s="249">
        <f t="shared" si="41"/>
        <v>1.3527749124252544E-4</v>
      </c>
      <c r="I94" s="248">
        <f>IF(MobilityModel=DK,CalcDeltaN(H94,SampleDoping,Thickness,AreaFrac),CalcDeltaNDL(H94,AreaFrac,Thickness,SampleType,SampleDoping,Temperature))</f>
        <v>14518027858406.648</v>
      </c>
      <c r="J94" s="248" t="str">
        <f t="shared" si="42"/>
        <v/>
      </c>
      <c r="K94" s="248">
        <f t="shared" si="43"/>
        <v>14518027858406.648</v>
      </c>
      <c r="L94" s="250">
        <f t="shared" si="52"/>
        <v>-8986954192147928</v>
      </c>
      <c r="M94" s="196" t="str">
        <f t="shared" si="44"/>
        <v/>
      </c>
      <c r="N94" s="196" t="str">
        <f t="shared" si="45"/>
        <v/>
      </c>
      <c r="O94" s="250">
        <f t="shared" si="46"/>
        <v>14518027858406.648</v>
      </c>
      <c r="P94" s="248">
        <f t="shared" si="53"/>
        <v>1.5924745307558712E-6</v>
      </c>
      <c r="Q94" s="250" t="str">
        <f t="shared" si="54"/>
        <v/>
      </c>
      <c r="R94" s="251" t="str">
        <f t="shared" si="57"/>
        <v/>
      </c>
      <c r="S94" s="252">
        <f>IF(AND(E94&gt;0.95*BiasLight,E94&lt;1.05*BiasLight),"",IF(AugerModel="Sinton",calclifetimeauger(Auger_Coefficient,I94,P94),calclifetimerichter(SampleType,I94,SampleDoping,P94)))</f>
        <v>627953.52775166056</v>
      </c>
      <c r="T94" s="201" t="str">
        <f t="shared" si="56"/>
        <v/>
      </c>
      <c r="U94" s="252">
        <f t="shared" si="47"/>
        <v>379346.41119014856</v>
      </c>
      <c r="V94" s="251" t="str">
        <f>IF(AugerModel="Sinton","",IF(SampleType="n-type",n_intr_boltzmann(SampleDoping,0,K94,Temperature+273.15),n_intr_boltzmann(0,SampleDoping,K94,Temperature+273.15)))</f>
        <v/>
      </c>
      <c r="W94" s="251" t="str">
        <f t="shared" si="51"/>
        <v/>
      </c>
      <c r="X94" s="246">
        <f>IF(AND(A94&gt;TimeofMaxCD,I94&gt;Traps),IF(AugerModel="Sinton",CalcImpliedV(SampleDoping,O94),CalcImpliedVRichter(O94,SampleDoping,V94)),"")</f>
        <v>0.53591571532048254</v>
      </c>
      <c r="Y94" s="253">
        <f t="shared" si="48"/>
        <v>1.2118785844091016</v>
      </c>
      <c r="Z94" s="200" t="str">
        <f t="shared" si="49"/>
        <v/>
      </c>
      <c r="AE94" s="251">
        <f t="shared" si="50"/>
        <v>1661.8329244973106</v>
      </c>
    </row>
    <row r="95" spans="1:31" x14ac:dyDescent="0.2">
      <c r="A95" s="244">
        <v>8.6499999999999997E-3</v>
      </c>
      <c r="B95" s="244">
        <v>4.0850000000000001E-3</v>
      </c>
      <c r="C95" s="245">
        <v>1.1024000000000001E-2</v>
      </c>
      <c r="D95" s="246">
        <f>IF(CouplingMode="AC",B95-(A$11-A$10)*SUM(B$9:B95)/0.21,B95)</f>
        <v>4.0850000000000001E-3</v>
      </c>
      <c r="E95" s="247">
        <f t="shared" si="38"/>
        <v>1.1616833335923957</v>
      </c>
      <c r="F95" s="247">
        <f t="shared" si="39"/>
        <v>1.1616833335923957</v>
      </c>
      <c r="G95" s="248">
        <f t="shared" si="40"/>
        <v>3.0586643577357837E+17</v>
      </c>
      <c r="H95" s="249">
        <f t="shared" si="41"/>
        <v>1.2034117725040483E-4</v>
      </c>
      <c r="I95" s="248">
        <f>IF(MobilityModel=DK,CalcDeltaN(H95,SampleDoping,Thickness,AreaFrac),CalcDeltaNDL(H95,AreaFrac,Thickness,SampleType,SampleDoping,Temperature))</f>
        <v>12914834252620.588</v>
      </c>
      <c r="J95" s="248" t="str">
        <f t="shared" si="42"/>
        <v/>
      </c>
      <c r="K95" s="248">
        <f t="shared" si="43"/>
        <v>12914834252620.588</v>
      </c>
      <c r="L95" s="250">
        <f t="shared" si="52"/>
        <v>-4423850584785566.5</v>
      </c>
      <c r="M95" s="196" t="str">
        <f t="shared" si="44"/>
        <v/>
      </c>
      <c r="N95" s="196" t="str">
        <f t="shared" si="45"/>
        <v/>
      </c>
      <c r="O95" s="250">
        <f t="shared" si="46"/>
        <v>12914834252620.588</v>
      </c>
      <c r="P95" s="248">
        <f t="shared" si="53"/>
        <v>1.4770842498566162E-6</v>
      </c>
      <c r="Q95" s="250" t="str">
        <f t="shared" si="54"/>
        <v/>
      </c>
      <c r="R95" s="251" t="str">
        <f t="shared" si="57"/>
        <v/>
      </c>
      <c r="S95" s="252">
        <f>IF(AND(E95&gt;0.95*BiasLight,E95&lt;1.05*BiasLight),"",IF(AugerModel="Sinton",calclifetimeauger(Auger_Coefficient,I95,P95),calclifetimerichter(SampleType,I95,SampleDoping,P95)))</f>
        <v>677009.45270258118</v>
      </c>
      <c r="T95" s="201" t="str">
        <f t="shared" si="56"/>
        <v/>
      </c>
      <c r="U95" s="252">
        <f t="shared" si="47"/>
        <v>379411.31316405552</v>
      </c>
      <c r="V95" s="251" t="str">
        <f>IF(AugerModel="Sinton","",IF(SampleType="n-type",n_intr_boltzmann(SampleDoping,0,K95,Temperature+273.15),n_intr_boltzmann(0,SampleDoping,K95,Temperature+273.15)))</f>
        <v/>
      </c>
      <c r="W95" s="251" t="str">
        <f t="shared" si="51"/>
        <v/>
      </c>
      <c r="X95" s="246">
        <f>IF(AND(A95&gt;TimeofMaxCD,I95&gt;Traps),IF(AugerModel="Sinton",CalcImpliedV(SampleDoping,O95),CalcImpliedVRichter(O95,SampleDoping,V95)),"")</f>
        <v>0.53290256815607351</v>
      </c>
      <c r="Y95" s="253">
        <f t="shared" si="48"/>
        <v>1.162271397372123</v>
      </c>
      <c r="Z95" s="200" t="str">
        <f t="shared" si="49"/>
        <v/>
      </c>
      <c r="AE95" s="251">
        <f t="shared" si="50"/>
        <v>1661.8616378071904</v>
      </c>
    </row>
    <row r="96" spans="1:31" x14ac:dyDescent="0.2">
      <c r="A96" s="244">
        <v>8.7500000000000008E-3</v>
      </c>
      <c r="B96" s="244">
        <v>4.1570000000000001E-3</v>
      </c>
      <c r="C96" s="245">
        <v>1.0541E-2</v>
      </c>
      <c r="D96" s="246">
        <f>IF(CouplingMode="AC",B96-(A$11-A$10)*SUM(B$9:B96)/0.21,B96)</f>
        <v>4.1570000000000001E-3</v>
      </c>
      <c r="E96" s="247">
        <f t="shared" si="38"/>
        <v>1.110785923385109</v>
      </c>
      <c r="F96" s="247">
        <f t="shared" si="39"/>
        <v>1.110785923385109</v>
      </c>
      <c r="G96" s="248">
        <f t="shared" si="40"/>
        <v>2.9246535735570477E+17</v>
      </c>
      <c r="H96" s="249">
        <f t="shared" si="41"/>
        <v>1.2246230445394496E-4</v>
      </c>
      <c r="I96" s="248">
        <f>IF(MobilityModel=DK,CalcDeltaN(H96,SampleDoping,Thickness,AreaFrac),CalcDeltaNDL(H96,AreaFrac,Thickness,SampleType,SampleDoping,Temperature))</f>
        <v>13142502683457.309</v>
      </c>
      <c r="J96" s="248" t="str">
        <f t="shared" si="42"/>
        <v/>
      </c>
      <c r="K96" s="248">
        <f t="shared" si="43"/>
        <v>13142502683457.309</v>
      </c>
      <c r="L96" s="250">
        <f t="shared" si="52"/>
        <v>-5514626209786579</v>
      </c>
      <c r="M96" s="196" t="str">
        <f t="shared" si="44"/>
        <v/>
      </c>
      <c r="N96" s="196" t="str">
        <f t="shared" si="45"/>
        <v/>
      </c>
      <c r="O96" s="250">
        <f t="shared" si="46"/>
        <v>13142502683457.309</v>
      </c>
      <c r="P96" s="248">
        <f t="shared" si="53"/>
        <v>1.5717561574049574E-6</v>
      </c>
      <c r="Q96" s="250" t="str">
        <f t="shared" si="54"/>
        <v/>
      </c>
      <c r="R96" s="251" t="str">
        <f t="shared" si="57"/>
        <v/>
      </c>
      <c r="S96" s="252">
        <f>IF(AND(E96&gt;0.95*BiasLight,E96&lt;1.05*BiasLight),"",IF(AugerModel="Sinton",calclifetimeauger(Auger_Coefficient,I96,P96),calclifetimerichter(SampleType,I96,SampleDoping,P96)))</f>
        <v>636231.00494187744</v>
      </c>
      <c r="T96" s="201" t="str">
        <f t="shared" si="56"/>
        <v/>
      </c>
      <c r="U96" s="252">
        <f t="shared" si="47"/>
        <v>379402.09647899371</v>
      </c>
      <c r="V96" s="251" t="str">
        <f>IF(AugerModel="Sinton","",IF(SampleType="n-type",n_intr_boltzmann(SampleDoping,0,K96,Temperature+273.15),n_intr_boltzmann(0,SampleDoping,K96,Temperature+273.15)))</f>
        <v/>
      </c>
      <c r="W96" s="251" t="str">
        <f t="shared" si="51"/>
        <v/>
      </c>
      <c r="X96" s="246">
        <f>IF(AND(A96&gt;TimeofMaxCD,I96&gt;Traps),IF(AugerModel="Sinton",CalcImpliedV(SampleDoping,O96),CalcImpliedVRichter(O96,SampleDoping,V96)),"")</f>
        <v>0.53335249765631298</v>
      </c>
      <c r="Y96" s="253">
        <f t="shared" si="48"/>
        <v>1.1115189842945039</v>
      </c>
      <c r="Z96" s="200" t="str">
        <f t="shared" si="49"/>
        <v/>
      </c>
      <c r="AE96" s="251">
        <f t="shared" si="50"/>
        <v>1661.8575601036614</v>
      </c>
    </row>
    <row r="97" spans="1:31" x14ac:dyDescent="0.2">
      <c r="A97" s="244">
        <v>8.8500000000000002E-3</v>
      </c>
      <c r="B97" s="244">
        <v>4.2750000000000002E-3</v>
      </c>
      <c r="C97" s="245">
        <v>1.01E-2</v>
      </c>
      <c r="D97" s="246">
        <f>IF(CouplingMode="AC",B97-(A$11-A$10)*SUM(B$9:B97)/0.21,B97)</f>
        <v>4.2750000000000002E-3</v>
      </c>
      <c r="E97" s="247">
        <f t="shared" si="38"/>
        <v>1.0643143749349777</v>
      </c>
      <c r="F97" s="247">
        <f t="shared" si="39"/>
        <v>1.0643143749349777</v>
      </c>
      <c r="G97" s="248">
        <f t="shared" si="40"/>
        <v>2.8022959010460275E+17</v>
      </c>
      <c r="H97" s="249">
        <f t="shared" si="41"/>
        <v>1.259386006581785E-4</v>
      </c>
      <c r="I97" s="248">
        <f>IF(MobilityModel=DK,CalcDeltaN(H97,SampleDoping,Thickness,AreaFrac),CalcDeltaNDL(H97,AreaFrac,Thickness,SampleType,SampleDoping,Temperature))</f>
        <v>13515628832713.826</v>
      </c>
      <c r="J97" s="248" t="str">
        <f t="shared" si="42"/>
        <v/>
      </c>
      <c r="K97" s="248">
        <f t="shared" si="43"/>
        <v>13515628832713.826</v>
      </c>
      <c r="L97" s="250">
        <f t="shared" si="52"/>
        <v>-2124871275042459.7</v>
      </c>
      <c r="M97" s="196" t="str">
        <f t="shared" si="44"/>
        <v/>
      </c>
      <c r="N97" s="196" t="str">
        <f t="shared" si="45"/>
        <v/>
      </c>
      <c r="O97" s="250">
        <f t="shared" si="46"/>
        <v>13515628832713.826</v>
      </c>
      <c r="P97" s="248">
        <f t="shared" si="53"/>
        <v>1.687621566722467E-6</v>
      </c>
      <c r="Q97" s="250" t="str">
        <f t="shared" si="54"/>
        <v/>
      </c>
      <c r="R97" s="251" t="str">
        <f t="shared" si="57"/>
        <v/>
      </c>
      <c r="S97" s="252">
        <f>IF(AND(E97&gt;0.95*BiasLight,E97&lt;1.05*BiasLight),"",IF(AugerModel="Sinton",calclifetimeauger(Auger_Coefficient,I97,P97),calclifetimerichter(SampleType,I97,SampleDoping,P97)))</f>
        <v>592549.90526718297</v>
      </c>
      <c r="T97" s="201" t="str">
        <f t="shared" si="56"/>
        <v/>
      </c>
      <c r="U97" s="252">
        <f t="shared" si="47"/>
        <v>379386.99123935477</v>
      </c>
      <c r="V97" s="251" t="str">
        <f>IF(AugerModel="Sinton","",IF(SampleType="n-type",n_intr_boltzmann(SampleDoping,0,K97,Temperature+273.15),n_intr_boltzmann(0,SampleDoping,K97,Temperature+273.15)))</f>
        <v/>
      </c>
      <c r="W97" s="251" t="str">
        <f t="shared" si="51"/>
        <v/>
      </c>
      <c r="X97" s="246">
        <f>IF(AND(A97&gt;TimeofMaxCD,I97&gt;Traps),IF(AugerModel="Sinton",CalcImpliedV(SampleDoping,O97),CalcImpliedVRichter(O97,SampleDoping,V97)),"")</f>
        <v>0.53407333477913044</v>
      </c>
      <c r="Y97" s="253">
        <f t="shared" si="48"/>
        <v>1.0645968347083101</v>
      </c>
      <c r="Z97" s="200" t="str">
        <f t="shared" si="49"/>
        <v/>
      </c>
      <c r="AE97" s="251">
        <f t="shared" si="50"/>
        <v>1661.850877253431</v>
      </c>
    </row>
    <row r="98" spans="1:31" x14ac:dyDescent="0.2">
      <c r="A98" s="244">
        <v>8.9499999999999996E-3</v>
      </c>
      <c r="B98" s="244">
        <v>3.6250000000000002E-3</v>
      </c>
      <c r="C98" s="245">
        <v>9.6579999999999999E-3</v>
      </c>
      <c r="D98" s="246">
        <f>IF(CouplingMode="AC",B98-(A$11-A$10)*SUM(B$9:B98)/0.21,B98)</f>
        <v>3.6250000000000002E-3</v>
      </c>
      <c r="E98" s="247">
        <f t="shared" si="38"/>
        <v>1.0177374488239619</v>
      </c>
      <c r="F98" s="247">
        <f t="shared" si="39"/>
        <v>1.0177374488239619</v>
      </c>
      <c r="G98" s="248">
        <f t="shared" si="40"/>
        <v>2.6796607734953005E+17</v>
      </c>
      <c r="H98" s="249">
        <f t="shared" si="41"/>
        <v>1.067895792376608E-4</v>
      </c>
      <c r="I98" s="248">
        <f>IF(MobilityModel=DK,CalcDeltaN(H98,SampleDoping,Thickness,AreaFrac),CalcDeltaNDL(H98,AreaFrac,Thickness,SampleType,SampleDoping,Temperature))</f>
        <v>11460317463466.738</v>
      </c>
      <c r="J98" s="248" t="str">
        <f t="shared" si="42"/>
        <v/>
      </c>
      <c r="K98" s="248">
        <f t="shared" si="43"/>
        <v>11460317463466.738</v>
      </c>
      <c r="L98" s="250">
        <f t="shared" si="52"/>
        <v>-2137547921246475.5</v>
      </c>
      <c r="M98" s="196" t="str">
        <f t="shared" si="44"/>
        <v/>
      </c>
      <c r="N98" s="196" t="str">
        <f t="shared" si="45"/>
        <v/>
      </c>
      <c r="O98" s="250">
        <f t="shared" si="46"/>
        <v>11460317463466.738</v>
      </c>
      <c r="P98" s="248">
        <f t="shared" si="53"/>
        <v>1.4964549212494703E-6</v>
      </c>
      <c r="Q98" s="250" t="str">
        <f t="shared" si="54"/>
        <v/>
      </c>
      <c r="R98" s="251" t="str">
        <f t="shared" si="57"/>
        <v/>
      </c>
      <c r="S98" s="252">
        <f>IF(AND(E98&gt;0.95*BiasLight,E98&lt;1.05*BiasLight),"",IF(AugerModel="Sinton",calclifetimeauger(Auger_Coefficient,I98,P98),calclifetimerichter(SampleType,I98,SampleDoping,P98)))</f>
        <v>668245.98955428984</v>
      </c>
      <c r="T98" s="201" t="str">
        <f t="shared" si="56"/>
        <v/>
      </c>
      <c r="U98" s="252">
        <f t="shared" si="47"/>
        <v>379470.19626485894</v>
      </c>
      <c r="V98" s="251" t="str">
        <f>IF(AugerModel="Sinton","",IF(SampleType="n-type",n_intr_boltzmann(SampleDoping,0,K98,Temperature+273.15),n_intr_boltzmann(0,SampleDoping,K98,Temperature+273.15)))</f>
        <v/>
      </c>
      <c r="W98" s="251" t="str">
        <f t="shared" si="51"/>
        <v/>
      </c>
      <c r="X98" s="246">
        <f>IF(AND(A98&gt;TimeofMaxCD,I98&gt;Traps),IF(AugerModel="Sinton",CalcImpliedV(SampleDoping,O98),CalcImpliedVRichter(O98,SampleDoping,V98)),"")</f>
        <v>0.52982657715023029</v>
      </c>
      <c r="Y98" s="253">
        <f t="shared" si="48"/>
        <v>1.0180215937076611</v>
      </c>
      <c r="Z98" s="200" t="str">
        <f t="shared" si="49"/>
        <v/>
      </c>
      <c r="AE98" s="251">
        <f t="shared" si="50"/>
        <v>1661.8876903780879</v>
      </c>
    </row>
    <row r="99" spans="1:31" x14ac:dyDescent="0.2">
      <c r="A99" s="244">
        <v>9.0500000000000008E-3</v>
      </c>
      <c r="B99" s="244">
        <v>4.0150000000000003E-3</v>
      </c>
      <c r="C99" s="245">
        <v>9.2560000000000003E-3</v>
      </c>
      <c r="D99" s="246">
        <f>IF(CouplingMode="AC",B99-(A$11-A$10)*SUM(B$9:B99)/0.21,B99)</f>
        <v>4.0150000000000003E-3</v>
      </c>
      <c r="E99" s="247">
        <f t="shared" si="38"/>
        <v>0.9753756291483322</v>
      </c>
      <c r="F99" s="247">
        <f t="shared" si="39"/>
        <v>0.9753756291483322</v>
      </c>
      <c r="G99" s="248">
        <f t="shared" si="40"/>
        <v>2.5681238475328746E+17</v>
      </c>
      <c r="H99" s="249">
        <f t="shared" si="41"/>
        <v>1.1827897219701677E-4</v>
      </c>
      <c r="I99" s="248">
        <f>IF(MobilityModel=DK,CalcDeltaN(H99,SampleDoping,Thickness,AreaFrac),CalcDeltaNDL(H99,AreaFrac,Thickness,SampleType,SampleDoping,Temperature))</f>
        <v>12693491225094.637</v>
      </c>
      <c r="J99" s="248" t="str">
        <f t="shared" si="42"/>
        <v/>
      </c>
      <c r="K99" s="248">
        <f t="shared" si="43"/>
        <v>12693491225094.637</v>
      </c>
      <c r="L99" s="250">
        <f t="shared" si="52"/>
        <v>-4211782937196340.5</v>
      </c>
      <c r="M99" s="196" t="str">
        <f t="shared" si="44"/>
        <v/>
      </c>
      <c r="N99" s="196" t="str">
        <f t="shared" si="45"/>
        <v/>
      </c>
      <c r="O99" s="250">
        <f t="shared" si="46"/>
        <v>12693491225094.637</v>
      </c>
      <c r="P99" s="248">
        <f t="shared" si="53"/>
        <v>1.7289560382414248E-6</v>
      </c>
      <c r="Q99" s="250" t="str">
        <f t="shared" si="54"/>
        <v/>
      </c>
      <c r="R99" s="251" t="str">
        <f t="shared" si="57"/>
        <v/>
      </c>
      <c r="S99" s="252">
        <f>IF(AND(E99&gt;0.95*BiasLight,E99&lt;1.05*BiasLight),"",IF(AugerModel="Sinton",calclifetimeauger(Auger_Coefficient,I99,P99),calclifetimerichter(SampleType,I99,SampleDoping,P99)))</f>
        <v>578383.70520669373</v>
      </c>
      <c r="T99" s="201" t="str">
        <f t="shared" si="56"/>
        <v/>
      </c>
      <c r="U99" s="252">
        <f t="shared" si="47"/>
        <v>379420.27377826028</v>
      </c>
      <c r="V99" s="251" t="str">
        <f>IF(AugerModel="Sinton","",IF(SampleType="n-type",n_intr_boltzmann(SampleDoping,0,K99,Temperature+273.15),n_intr_boltzmann(0,SampleDoping,K99,Temperature+273.15)))</f>
        <v/>
      </c>
      <c r="W99" s="251" t="str">
        <f t="shared" si="51"/>
        <v/>
      </c>
      <c r="X99" s="246">
        <f>IF(AND(A99&gt;TimeofMaxCD,I99&gt;Traps),IF(AugerModel="Sinton",CalcImpliedV(SampleDoping,O99),CalcImpliedVRichter(O99,SampleDoping,V99)),"")</f>
        <v>0.53245748668715132</v>
      </c>
      <c r="Y99" s="253">
        <f t="shared" si="48"/>
        <v>0.97593550271231644</v>
      </c>
      <c r="Z99" s="200" t="str">
        <f t="shared" si="49"/>
        <v/>
      </c>
      <c r="AE99" s="251">
        <f t="shared" si="50"/>
        <v>1661.8656022645773</v>
      </c>
    </row>
    <row r="100" spans="1:31" x14ac:dyDescent="0.2">
      <c r="A100" s="244">
        <v>9.1500000000000001E-3</v>
      </c>
      <c r="B100" s="244">
        <v>3.9490000000000003E-3</v>
      </c>
      <c r="C100" s="245">
        <v>8.8760000000000002E-3</v>
      </c>
      <c r="D100" s="246">
        <f>IF(CouplingMode="AC",B100-(A$11-A$10)*SUM(B$9:B100)/0.21,B100)</f>
        <v>3.9490000000000003E-3</v>
      </c>
      <c r="E100" s="247">
        <f t="shared" si="38"/>
        <v>0.93533211801216476</v>
      </c>
      <c r="F100" s="247">
        <f t="shared" si="39"/>
        <v>0.93533211801216476</v>
      </c>
      <c r="G100" s="248">
        <f t="shared" si="40"/>
        <v>2.4626909324440147E+17</v>
      </c>
      <c r="H100" s="249">
        <f t="shared" si="41"/>
        <v>1.1633460919333385E-4</v>
      </c>
      <c r="I100" s="248">
        <f>IF(MobilityModel=DK,CalcDeltaN(H100,SampleDoping,Thickness,AreaFrac),CalcDeltaNDL(H100,AreaFrac,Thickness,SampleType,SampleDoping,Temperature))</f>
        <v>12484797526643.662</v>
      </c>
      <c r="J100" s="248" t="str">
        <f t="shared" si="42"/>
        <v/>
      </c>
      <c r="K100" s="248">
        <f t="shared" si="43"/>
        <v>12484797526643.662</v>
      </c>
      <c r="L100" s="250">
        <f t="shared" si="52"/>
        <v>-3901813221686532.5</v>
      </c>
      <c r="M100" s="196" t="str">
        <f t="shared" si="44"/>
        <v/>
      </c>
      <c r="N100" s="196" t="str">
        <f t="shared" si="45"/>
        <v/>
      </c>
      <c r="O100" s="250">
        <f t="shared" si="46"/>
        <v>12484797526643.662</v>
      </c>
      <c r="P100" s="248">
        <f t="shared" si="53"/>
        <v>1.7733680276335554E-6</v>
      </c>
      <c r="Q100" s="250" t="str">
        <f t="shared" si="54"/>
        <v/>
      </c>
      <c r="R100" s="251" t="str">
        <f t="shared" si="57"/>
        <v/>
      </c>
      <c r="S100" s="252">
        <f>IF(AND(E100&gt;0.95*BiasLight,E100&lt;1.05*BiasLight),"",IF(AugerModel="Sinton",calclifetimeauger(Auger_Coefficient,I100,P100),calclifetimerichter(SampleType,I100,SampleDoping,P100)))</f>
        <v>563898.74180577509</v>
      </c>
      <c r="T100" s="201" t="str">
        <f t="shared" si="56"/>
        <v/>
      </c>
      <c r="U100" s="252">
        <f t="shared" si="47"/>
        <v>379428.7223105664</v>
      </c>
      <c r="V100" s="251" t="str">
        <f>IF(AugerModel="Sinton","",IF(SampleType="n-type",n_intr_boltzmann(SampleDoping,0,K100,Temperature+273.15),n_intr_boltzmann(0,SampleDoping,K100,Temperature+273.15)))</f>
        <v/>
      </c>
      <c r="W100" s="251" t="str">
        <f t="shared" si="51"/>
        <v/>
      </c>
      <c r="X100" s="246">
        <f>IF(AND(A100&gt;TimeofMaxCD,I100&gt;Traps),IF(AugerModel="Sinton",CalcImpliedV(SampleDoping,O100),CalcImpliedVRichter(O100,SampleDoping,V100)),"")</f>
        <v>0.53203068983739932</v>
      </c>
      <c r="Y100" s="253">
        <f t="shared" si="48"/>
        <v>0.93585078720927239</v>
      </c>
      <c r="Z100" s="200" t="str">
        <f t="shared" si="49"/>
        <v/>
      </c>
      <c r="AE100" s="251">
        <f t="shared" si="50"/>
        <v>1661.8693402026729</v>
      </c>
    </row>
    <row r="101" spans="1:31" x14ac:dyDescent="0.2">
      <c r="A101" s="244">
        <v>9.2499999999999995E-3</v>
      </c>
      <c r="B101" s="244">
        <v>3.447E-3</v>
      </c>
      <c r="C101" s="245">
        <v>8.4639999999999993E-3</v>
      </c>
      <c r="D101" s="246">
        <f>IF(CouplingMode="AC",B101-(A$11-A$10)*SUM(B$9:B101)/0.21,B101)</f>
        <v>3.447E-3</v>
      </c>
      <c r="E101" s="247">
        <f t="shared" si="38"/>
        <v>0.89191652172768832</v>
      </c>
      <c r="F101" s="247">
        <f t="shared" si="39"/>
        <v>0.89191652172768832</v>
      </c>
      <c r="G101" s="248">
        <f t="shared" si="40"/>
        <v>2.348379456084513E+17</v>
      </c>
      <c r="H101" s="249">
        <f t="shared" si="41"/>
        <v>1.015457222859617E-4</v>
      </c>
      <c r="I101" s="248">
        <f>IF(MobilityModel=DK,CalcDeltaN(H101,SampleDoping,Thickness,AreaFrac),CalcDeltaNDL(H101,AreaFrac,Thickness,SampleType,SampleDoping,Temperature))</f>
        <v>10897497332527.189</v>
      </c>
      <c r="J101" s="248" t="str">
        <f t="shared" si="42"/>
        <v/>
      </c>
      <c r="K101" s="248">
        <f t="shared" si="43"/>
        <v>10897497332527.189</v>
      </c>
      <c r="L101" s="250">
        <f t="shared" si="52"/>
        <v>-8477083207082197</v>
      </c>
      <c r="M101" s="196" t="str">
        <f t="shared" si="44"/>
        <v/>
      </c>
      <c r="N101" s="196" t="str">
        <f t="shared" si="45"/>
        <v/>
      </c>
      <c r="O101" s="250">
        <f t="shared" si="46"/>
        <v>10897497332527.189</v>
      </c>
      <c r="P101" s="248">
        <f t="shared" si="53"/>
        <v>1.622102132325199E-6</v>
      </c>
      <c r="Q101" s="250" t="str">
        <f t="shared" si="54"/>
        <v/>
      </c>
      <c r="R101" s="251" t="str">
        <f t="shared" si="57"/>
        <v/>
      </c>
      <c r="S101" s="252">
        <f>IF(AND(E101&gt;0.95*BiasLight,E101&lt;1.05*BiasLight),"",IF(AugerModel="Sinton",calclifetimeauger(Auger_Coefficient,I101,P101),calclifetimerichter(SampleType,I101,SampleDoping,P101)))</f>
        <v>616483.99305583816</v>
      </c>
      <c r="T101" s="201" t="str">
        <f t="shared" si="56"/>
        <v/>
      </c>
      <c r="U101" s="252">
        <f t="shared" si="47"/>
        <v>379492.98087260732</v>
      </c>
      <c r="V101" s="251" t="str">
        <f>IF(AugerModel="Sinton","",IF(SampleType="n-type",n_intr_boltzmann(SampleDoping,0,K101,Temperature+273.15),n_intr_boltzmann(0,SampleDoping,K101,Temperature+273.15)))</f>
        <v/>
      </c>
      <c r="W101" s="251" t="str">
        <f t="shared" si="51"/>
        <v/>
      </c>
      <c r="X101" s="246">
        <f>IF(AND(A101&gt;TimeofMaxCD,I101&gt;Traps),IF(AugerModel="Sinton",CalcImpliedV(SampleDoping,O101),CalcImpliedVRichter(O101,SampleDoping,V101)),"")</f>
        <v>0.5285304259175605</v>
      </c>
      <c r="Y101" s="253">
        <f t="shared" si="48"/>
        <v>0.89304338293067809</v>
      </c>
      <c r="Z101" s="200" t="str">
        <f t="shared" si="49"/>
        <v/>
      </c>
      <c r="AE101" s="251">
        <f t="shared" si="50"/>
        <v>1661.8977718576887</v>
      </c>
    </row>
    <row r="102" spans="1:31" x14ac:dyDescent="0.2">
      <c r="A102" s="244">
        <v>9.3500000000000007E-3</v>
      </c>
      <c r="B102" s="244">
        <v>3.2919999999999998E-3</v>
      </c>
      <c r="C102" s="245">
        <v>8.1180000000000002E-3</v>
      </c>
      <c r="D102" s="246">
        <f>IF(CouplingMode="AC",B102-(A$11-A$10)*SUM(B$9:B102)/0.21,B102)</f>
        <v>3.2919999999999998E-3</v>
      </c>
      <c r="E102" s="247">
        <f t="shared" si="38"/>
        <v>0.85545585106159905</v>
      </c>
      <c r="F102" s="247">
        <f t="shared" si="39"/>
        <v>0.85545585106159905</v>
      </c>
      <c r="G102" s="248">
        <f t="shared" si="40"/>
        <v>2.2523800123457082E+17</v>
      </c>
      <c r="H102" s="249">
        <f t="shared" si="41"/>
        <v>9.6979452482100909E-5</v>
      </c>
      <c r="I102" s="248">
        <f>IF(MobilityModel=DK,CalcDeltaN(H102,SampleDoping,Thickness,AreaFrac),CalcDeltaNDL(H102,AreaFrac,Thickness,SampleType,SampleDoping,Temperature))</f>
        <v>10407407798907.189</v>
      </c>
      <c r="J102" s="248" t="str">
        <f t="shared" si="42"/>
        <v/>
      </c>
      <c r="K102" s="248">
        <f t="shared" si="43"/>
        <v>10407407798907.189</v>
      </c>
      <c r="L102" s="250">
        <f t="shared" si="52"/>
        <v>-8808943986952045</v>
      </c>
      <c r="M102" s="196" t="str">
        <f t="shared" si="44"/>
        <v/>
      </c>
      <c r="N102" s="196" t="str">
        <f t="shared" si="45"/>
        <v/>
      </c>
      <c r="O102" s="250">
        <f t="shared" si="46"/>
        <v>10407407798907.189</v>
      </c>
      <c r="P102" s="248">
        <f t="shared" si="53"/>
        <v>1.6150087583300292E-6</v>
      </c>
      <c r="Q102" s="250" t="str">
        <f t="shared" si="54"/>
        <v/>
      </c>
      <c r="R102" s="251" t="str">
        <f t="shared" si="57"/>
        <v/>
      </c>
      <c r="S102" s="252">
        <f>IF(AND(E102&gt;0.95*BiasLight,E102&lt;1.05*BiasLight),"",IF(AugerModel="Sinton",calclifetimeauger(Auger_Coefficient,I102,P102),calclifetimerichter(SampleType,I102,SampleDoping,P102)))</f>
        <v>619191.68831235997</v>
      </c>
      <c r="T102" s="201" t="str">
        <f t="shared" si="56"/>
        <v/>
      </c>
      <c r="U102" s="252">
        <f t="shared" si="47"/>
        <v>379512.82113270334</v>
      </c>
      <c r="V102" s="251" t="str">
        <f>IF(AugerModel="Sinton","",IF(SampleType="n-type",n_intr_boltzmann(SampleDoping,0,K102,Temperature+273.15),n_intr_boltzmann(0,SampleDoping,K102,Temperature+273.15)))</f>
        <v/>
      </c>
      <c r="W102" s="251" t="str">
        <f t="shared" si="51"/>
        <v/>
      </c>
      <c r="X102" s="246">
        <f>IF(AND(A102&gt;TimeofMaxCD,I102&gt;Traps),IF(AugerModel="Sinton",CalcImpliedV(SampleDoping,O102),CalcImpliedVRichter(O102,SampleDoping,V102)),"")</f>
        <v>0.52734613837832089</v>
      </c>
      <c r="Y102" s="253">
        <f t="shared" si="48"/>
        <v>0.85662682661719025</v>
      </c>
      <c r="Z102" s="200" t="str">
        <f t="shared" si="49"/>
        <v/>
      </c>
      <c r="AE102" s="251">
        <f t="shared" si="50"/>
        <v>1661.9065507957346</v>
      </c>
    </row>
    <row r="103" spans="1:31" x14ac:dyDescent="0.2">
      <c r="A103" s="244">
        <v>9.4500000000000001E-3</v>
      </c>
      <c r="B103" s="244">
        <v>3.003E-3</v>
      </c>
      <c r="C103" s="245">
        <v>7.7609999999999997E-3</v>
      </c>
      <c r="D103" s="246">
        <f>IF(CouplingMode="AC",B103-(A$11-A$10)*SUM(B$9:B103)/0.21,B103)</f>
        <v>3.003E-3</v>
      </c>
      <c r="E103" s="247">
        <f t="shared" si="38"/>
        <v>0.81783602612577844</v>
      </c>
      <c r="F103" s="247">
        <f t="shared" si="39"/>
        <v>0.81783602612577844</v>
      </c>
      <c r="G103" s="248">
        <f t="shared" si="40"/>
        <v>2.153328563170121E+17</v>
      </c>
      <c r="H103" s="249">
        <f t="shared" si="41"/>
        <v>8.8465593956699173E-5</v>
      </c>
      <c r="I103" s="248">
        <f>IF(MobilityModel=DK,CalcDeltaN(H103,SampleDoping,Thickness,AreaFrac),CalcDeltaNDL(H103,AreaFrac,Thickness,SampleType,SampleDoping,Temperature))</f>
        <v>9493644485421.7773</v>
      </c>
      <c r="J103" s="248" t="str">
        <f t="shared" si="42"/>
        <v/>
      </c>
      <c r="K103" s="248">
        <f t="shared" si="43"/>
        <v>9493644485421.7773</v>
      </c>
      <c r="L103" s="250">
        <f t="shared" si="52"/>
        <v>-6254021736110010</v>
      </c>
      <c r="M103" s="196" t="str">
        <f t="shared" si="44"/>
        <v/>
      </c>
      <c r="N103" s="196" t="str">
        <f t="shared" si="45"/>
        <v/>
      </c>
      <c r="O103" s="250">
        <f t="shared" si="46"/>
        <v>9493644485421.7773</v>
      </c>
      <c r="P103" s="248">
        <f t="shared" si="53"/>
        <v>1.5415210569825213E-6</v>
      </c>
      <c r="Q103" s="250" t="str">
        <f t="shared" si="54"/>
        <v/>
      </c>
      <c r="R103" s="251" t="str">
        <f t="shared" si="57"/>
        <v/>
      </c>
      <c r="S103" s="252">
        <f>IF(AND(E103&gt;0.95*BiasLight,E103&lt;1.05*BiasLight),"",IF(AugerModel="Sinton",calclifetimeauger(Auger_Coefficient,I103,P103),calclifetimerichter(SampleType,I103,SampleDoping,P103)))</f>
        <v>648709.91884264897</v>
      </c>
      <c r="T103" s="201" t="str">
        <f t="shared" si="56"/>
        <v/>
      </c>
      <c r="U103" s="252">
        <f t="shared" si="47"/>
        <v>379549.81294861063</v>
      </c>
      <c r="V103" s="251" t="str">
        <f>IF(AugerModel="Sinton","",IF(SampleType="n-type",n_intr_boltzmann(SampleDoping,0,K103,Temperature+273.15),n_intr_boltzmann(0,SampleDoping,K103,Temperature+273.15)))</f>
        <v/>
      </c>
      <c r="W103" s="251" t="str">
        <f t="shared" si="51"/>
        <v/>
      </c>
      <c r="X103" s="246">
        <f>IF(AND(A103&gt;TimeofMaxCD,I103&gt;Traps),IF(AugerModel="Sinton",CalcImpliedV(SampleDoping,O103),CalcImpliedVRichter(O103,SampleDoping,V103)),"")</f>
        <v>0.52498133240256806</v>
      </c>
      <c r="Y103" s="253">
        <f t="shared" si="48"/>
        <v>0.81866737510335952</v>
      </c>
      <c r="Z103" s="200" t="str">
        <f t="shared" si="49"/>
        <v/>
      </c>
      <c r="AE103" s="251">
        <f t="shared" si="50"/>
        <v>1661.9229195694952</v>
      </c>
    </row>
    <row r="104" spans="1:31" x14ac:dyDescent="0.2">
      <c r="A104" s="244">
        <v>9.5499999999999995E-3</v>
      </c>
      <c r="B104" s="244">
        <v>2.7780000000000001E-3</v>
      </c>
      <c r="C104" s="245">
        <v>7.4310000000000001E-3</v>
      </c>
      <c r="D104" s="246">
        <f>IF(CouplingMode="AC",B104-(A$11-A$10)*SUM(B$9:B104)/0.21,B104)</f>
        <v>2.7780000000000001E-3</v>
      </c>
      <c r="E104" s="247">
        <f t="shared" si="38"/>
        <v>0.78306139803384356</v>
      </c>
      <c r="F104" s="247">
        <f t="shared" si="39"/>
        <v>0.78306139803384356</v>
      </c>
      <c r="G104" s="248">
        <f t="shared" si="40"/>
        <v>2.0617684000666371E+17</v>
      </c>
      <c r="H104" s="249">
        <f t="shared" si="41"/>
        <v>8.1837180077034416E-5</v>
      </c>
      <c r="I104" s="248">
        <f>IF(MobilityModel=DK,CalcDeltaN(H104,SampleDoping,Thickness,AreaFrac),CalcDeltaNDL(H104,AreaFrac,Thickness,SampleType,SampleDoping,Temperature))</f>
        <v>8782251956720.3486</v>
      </c>
      <c r="J104" s="248" t="str">
        <f t="shared" si="42"/>
        <v/>
      </c>
      <c r="K104" s="248">
        <f t="shared" si="43"/>
        <v>8782251956720.3486</v>
      </c>
      <c r="L104" s="250">
        <f t="shared" si="52"/>
        <v>-5950402179419034</v>
      </c>
      <c r="M104" s="196" t="str">
        <f t="shared" si="44"/>
        <v/>
      </c>
      <c r="N104" s="196" t="str">
        <f t="shared" si="45"/>
        <v/>
      </c>
      <c r="O104" s="250">
        <f t="shared" si="46"/>
        <v>8782251956720.3486</v>
      </c>
      <c r="P104" s="248">
        <f t="shared" si="53"/>
        <v>1.4893459479598916E-6</v>
      </c>
      <c r="Q104" s="250" t="str">
        <f t="shared" si="54"/>
        <v/>
      </c>
      <c r="R104" s="251" t="str">
        <f t="shared" si="57"/>
        <v/>
      </c>
      <c r="S104" s="252">
        <f>IF(AND(E104&gt;0.95*BiasLight,E104&lt;1.05*BiasLight),"",IF(AugerModel="Sinton",calclifetimeauger(Auger_Coefficient,I104,P104),calclifetimerichter(SampleType,I104,SampleDoping,P104)))</f>
        <v>671435.67361170659</v>
      </c>
      <c r="T104" s="201" t="str">
        <f t="shared" si="56"/>
        <v/>
      </c>
      <c r="U104" s="252">
        <f t="shared" si="47"/>
        <v>379578.61220228078</v>
      </c>
      <c r="V104" s="251" t="str">
        <f>IF(AugerModel="Sinton","",IF(SampleType="n-type",n_intr_boltzmann(SampleDoping,0,K104,Temperature+273.15),n_intr_boltzmann(0,SampleDoping,K104,Temperature+273.15)))</f>
        <v/>
      </c>
      <c r="W104" s="251" t="str">
        <f t="shared" si="51"/>
        <v/>
      </c>
      <c r="X104" s="246">
        <f>IF(AND(A104&gt;TimeofMaxCD,I104&gt;Traps),IF(AugerModel="Sinton",CalcImpliedV(SampleDoping,O104),CalcImpliedVRichter(O104,SampleDoping,V104)),"")</f>
        <v>0.52297721827955002</v>
      </c>
      <c r="Y104" s="253">
        <f t="shared" si="48"/>
        <v>0.78385238677305658</v>
      </c>
      <c r="Z104" s="200" t="str">
        <f t="shared" si="49"/>
        <v/>
      </c>
      <c r="AE104" s="251">
        <f t="shared" si="50"/>
        <v>1661.9356636968773</v>
      </c>
    </row>
    <row r="105" spans="1:31" x14ac:dyDescent="0.2">
      <c r="A105" s="244">
        <v>9.6500000000000006E-3</v>
      </c>
      <c r="B105" s="244">
        <v>2.715E-3</v>
      </c>
      <c r="C105" s="245">
        <v>7.0910000000000001E-3</v>
      </c>
      <c r="D105" s="246">
        <f>IF(CouplingMode="AC",B105-(A$11-A$10)*SUM(B$9:B105)/0.21,B105)</f>
        <v>2.715E-3</v>
      </c>
      <c r="E105" s="247">
        <f t="shared" ref="E105:E133" si="58">IF(C105&gt;0,C105/RefCellCal,0.00001)</f>
        <v>0.74723299333306215</v>
      </c>
      <c r="F105" s="247">
        <f t="shared" ref="F105:F133" si="59">E105-BiasLight</f>
        <v>0.74723299333306215</v>
      </c>
      <c r="G105" s="248">
        <f t="shared" ref="G105:G133" si="60">F105*0.038*OptConst/1.602E-19</f>
        <v>1.9674336865660778E+17</v>
      </c>
      <c r="H105" s="249">
        <f t="shared" ref="H105:H133" si="61">CalcConductance(B105,Dark_Voltage,A_cal,B_cal,C_cal)</f>
        <v>7.9981227750276773E-5</v>
      </c>
      <c r="I105" s="248">
        <f>IF(MobilityModel=DK,CalcDeltaN(H105,SampleDoping,Thickness,AreaFrac),CalcDeltaNDL(H105,AreaFrac,Thickness,SampleType,SampleDoping,Temperature))</f>
        <v>8583064385565.6006</v>
      </c>
      <c r="J105" s="248" t="str">
        <f t="shared" ref="J105:J133" si="62">IF(AND(AND(I105&gt;=FitRangeMin,I105&lt;=FitRangeMax),A105&gt;TimeofMaxCD),I105,"")</f>
        <v/>
      </c>
      <c r="K105" s="248">
        <f t="shared" ref="K105:K133" si="63">IF(I105-BiasPtCD=0,0.00001,I105-BiasPtCD)</f>
        <v>8583064385565.6006</v>
      </c>
      <c r="L105" s="250">
        <f t="shared" si="52"/>
        <v>-3537952878753737</v>
      </c>
      <c r="M105" s="196" t="str">
        <f t="shared" ref="M105:M133" si="64">IF(E105&gt;0.85*BiasLight,IF( E105&lt;1.15*BiasLight,E105,""),"")</f>
        <v/>
      </c>
      <c r="N105" s="196" t="str">
        <f t="shared" ref="N105:N133" si="65">IF(E105&gt;0.85*BiasLight,IF(E105&lt;1.15*BiasLight,I105,""),"")</f>
        <v/>
      </c>
      <c r="O105" s="250">
        <f t="shared" ref="O105:O133" si="66">I105-Traps</f>
        <v>8583064385565.6006</v>
      </c>
      <c r="P105" s="248">
        <f t="shared" si="53"/>
        <v>1.5259385924185163E-6</v>
      </c>
      <c r="Q105" s="250" t="str">
        <f t="shared" si="54"/>
        <v/>
      </c>
      <c r="R105" s="251" t="str">
        <f t="shared" si="57"/>
        <v/>
      </c>
      <c r="S105" s="252">
        <f>IF(AND(E105&gt;0.95*BiasLight,E105&lt;1.05*BiasLight),"",IF(AugerModel="Sinton",calclifetimeauger(Auger_Coefficient,I105,P105),calclifetimerichter(SampleType,I105,SampleDoping,P105)))</f>
        <v>655334.36586622742</v>
      </c>
      <c r="T105" s="201" t="str">
        <f t="shared" si="56"/>
        <v/>
      </c>
      <c r="U105" s="252">
        <f t="shared" ref="U105:U133" si="67">FitInterceptAuger+FitSlopeAuger*(I105+Traps)</f>
        <v>379586.67589870456</v>
      </c>
      <c r="V105" s="251" t="str">
        <f>IF(AugerModel="Sinton","",IF(SampleType="n-type",n_intr_boltzmann(SampleDoping,0,K105,Temperature+273.15),n_intr_boltzmann(0,SampleDoping,K105,Temperature+273.15)))</f>
        <v/>
      </c>
      <c r="W105" s="251" t="str">
        <f t="shared" si="51"/>
        <v/>
      </c>
      <c r="X105" s="246">
        <f>IF(AND(A105&gt;TimeofMaxCD,I105&gt;Traps),IF(AugerModel="Sinton",CalcImpliedV(SampleDoping,O105),CalcImpliedVRichter(O105,SampleDoping,V105)),"")</f>
        <v>0.52238696621625402</v>
      </c>
      <c r="Y105" s="253">
        <f t="shared" ref="Y105:Y133" si="68">IF(OR(P105="",P105&lt;0,A105&lt;=TimeofMaxCD),"",(O105*Thickness*1.602E-19/(0.038*OptConst*P105)))</f>
        <v>0.74770329446609141</v>
      </c>
      <c r="Z105" s="200" t="str">
        <f t="shared" ref="Z105:Z133" si="69">IF(C105&gt;0.6,O105,"")</f>
        <v/>
      </c>
      <c r="AE105" s="251">
        <f t="shared" ref="AE105:AE133" si="70">H105/(K105*AreaFrac*Thickness*1.602E-19)</f>
        <v>1661.9392320952807</v>
      </c>
    </row>
    <row r="106" spans="1:31" x14ac:dyDescent="0.2">
      <c r="A106" s="244">
        <v>9.75E-3</v>
      </c>
      <c r="B106" s="244">
        <v>2.4949999999999998E-3</v>
      </c>
      <c r="C106" s="245">
        <v>6.796E-3</v>
      </c>
      <c r="D106" s="246">
        <f>IF(CouplingMode="AC",B106-(A$11-A$10)*SUM(B$9:B106)/0.21,B106)</f>
        <v>2.4949999999999998E-3</v>
      </c>
      <c r="E106" s="247">
        <f t="shared" si="58"/>
        <v>0.71614658337209003</v>
      </c>
      <c r="F106" s="247">
        <f t="shared" si="59"/>
        <v>0.71614658337209003</v>
      </c>
      <c r="G106" s="248">
        <f t="shared" si="60"/>
        <v>1.8855844498523571E+17</v>
      </c>
      <c r="H106" s="249">
        <f t="shared" si="61"/>
        <v>7.3500136601331589E-5</v>
      </c>
      <c r="I106" s="248">
        <f>IF(MobilityModel=DK,CalcDeltaN(H106,SampleDoping,Thickness,AreaFrac),CalcDeltaNDL(H106,AreaFrac,Thickness,SampleType,SampleDoping,Temperature))</f>
        <v>7887496759125.7617</v>
      </c>
      <c r="J106" s="248" t="str">
        <f t="shared" si="62"/>
        <v/>
      </c>
      <c r="K106" s="248">
        <f t="shared" si="63"/>
        <v>7887496759125.7617</v>
      </c>
      <c r="L106" s="250">
        <f t="shared" si="52"/>
        <v>-3534730884508396</v>
      </c>
      <c r="M106" s="196" t="str">
        <f t="shared" si="64"/>
        <v/>
      </c>
      <c r="N106" s="196" t="str">
        <f t="shared" si="65"/>
        <v/>
      </c>
      <c r="O106" s="250">
        <f t="shared" si="66"/>
        <v>7887496759125.7617</v>
      </c>
      <c r="P106" s="248">
        <f t="shared" si="53"/>
        <v>1.4631080423342589E-6</v>
      </c>
      <c r="Q106" s="250" t="str">
        <f t="shared" si="54"/>
        <v/>
      </c>
      <c r="R106" s="251" t="str">
        <f t="shared" si="57"/>
        <v/>
      </c>
      <c r="S106" s="252">
        <f>IF(AND(E106&gt;0.95*BiasLight,E106&lt;1.05*BiasLight),"",IF(AugerModel="Sinton",calclifetimeauger(Auger_Coefficient,I106,P106),calclifetimerichter(SampleType,I106,SampleDoping,P106)))</f>
        <v>683476.52457264147</v>
      </c>
      <c r="T106" s="201" t="str">
        <f t="shared" si="56"/>
        <v/>
      </c>
      <c r="U106" s="252">
        <f t="shared" si="67"/>
        <v>379614.83451397024</v>
      </c>
      <c r="V106" s="251" t="str">
        <f>IF(AugerModel="Sinton","",IF(SampleType="n-type",n_intr_boltzmann(SampleDoping,0,K106,Temperature+273.15),n_intr_boltzmann(0,SampleDoping,K106,Temperature+273.15)))</f>
        <v/>
      </c>
      <c r="W106" s="251" t="str">
        <f t="shared" si="51"/>
        <v/>
      </c>
      <c r="X106" s="246">
        <f>IF(AND(A106&gt;TimeofMaxCD,I106&gt;Traps),IF(AugerModel="Sinton",CalcImpliedV(SampleDoping,O106),CalcImpliedVRichter(O106,SampleDoping,V106)),"")</f>
        <v>0.52021278978426155</v>
      </c>
      <c r="Y106" s="253">
        <f t="shared" si="68"/>
        <v>0.71661645620446179</v>
      </c>
      <c r="Z106" s="200" t="str">
        <f t="shared" si="69"/>
        <v/>
      </c>
      <c r="AE106" s="251">
        <f t="shared" si="70"/>
        <v>1661.9516933157261</v>
      </c>
    </row>
    <row r="107" spans="1:31" x14ac:dyDescent="0.2">
      <c r="A107" s="244">
        <v>9.8499999999999994E-3</v>
      </c>
      <c r="B107" s="244">
        <v>2.5850000000000001E-3</v>
      </c>
      <c r="C107" s="245">
        <v>6.5189999999999996E-3</v>
      </c>
      <c r="D107" s="246">
        <f>IF(CouplingMode="AC",B107-(A$11-A$10)*SUM(B$9:B107)/0.21,B107)</f>
        <v>2.5850000000000001E-3</v>
      </c>
      <c r="E107" s="247">
        <f t="shared" si="58"/>
        <v>0.68695697130704159</v>
      </c>
      <c r="F107" s="247">
        <f t="shared" si="59"/>
        <v>0.68695697130704159</v>
      </c>
      <c r="G107" s="248">
        <f t="shared" si="60"/>
        <v>1.8087294038533718E+17</v>
      </c>
      <c r="H107" s="249">
        <f t="shared" si="61"/>
        <v>7.615148977601488E-5</v>
      </c>
      <c r="I107" s="248">
        <f>IF(MobilityModel=DK,CalcDeltaN(H107,SampleDoping,Thickness,AreaFrac),CalcDeltaNDL(H107,AreaFrac,Thickness,SampleType,SampleDoping,Temperature))</f>
        <v>8172045644842.2041</v>
      </c>
      <c r="J107" s="248" t="str">
        <f t="shared" si="62"/>
        <v/>
      </c>
      <c r="K107" s="248">
        <f t="shared" si="63"/>
        <v>8172045644842.2041</v>
      </c>
      <c r="L107" s="250">
        <f t="shared" ref="L107:L131" si="71">IF(ABS(SLOPE(K105:K109,A105:A109))&lt;1000000000000,-1000000000000,(SLOPE(K105:K109,A105:A109)))</f>
        <v>-2165731904330886.2</v>
      </c>
      <c r="M107" s="196" t="str">
        <f t="shared" si="64"/>
        <v/>
      </c>
      <c r="N107" s="196" t="str">
        <f t="shared" si="65"/>
        <v/>
      </c>
      <c r="O107" s="250">
        <f t="shared" si="66"/>
        <v>8172045644842.2041</v>
      </c>
      <c r="P107" s="248">
        <f t="shared" ref="P107:P131" si="72">calclifetime(AnalysisMode,K107,Thickness,G107,L107)</f>
        <v>1.5806774669204997E-6</v>
      </c>
      <c r="Q107" s="250" t="str">
        <f t="shared" si="54"/>
        <v/>
      </c>
      <c r="R107" s="251" t="str">
        <f t="shared" si="57"/>
        <v/>
      </c>
      <c r="S107" s="252">
        <f>IF(AND(E107&gt;0.95*BiasLight,E107&lt;1.05*BiasLight),"",IF(AugerModel="Sinton",calclifetimeauger(Auger_Coefficient,I107,P107),calclifetimerichter(SampleType,I107,SampleDoping,P107)))</f>
        <v>632640.13105278439</v>
      </c>
      <c r="T107" s="201" t="str">
        <f t="shared" si="56"/>
        <v/>
      </c>
      <c r="U107" s="252">
        <f t="shared" si="67"/>
        <v>379603.31514145696</v>
      </c>
      <c r="V107" s="251" t="str">
        <f>IF(AugerModel="Sinton","",IF(SampleType="n-type",n_intr_boltzmann(SampleDoping,0,K107,Temperature+273.15),n_intr_boltzmann(0,SampleDoping,K107,Temperature+273.15)))</f>
        <v/>
      </c>
      <c r="W107" s="251" t="str">
        <f t="shared" si="51"/>
        <v/>
      </c>
      <c r="X107" s="246">
        <f>IF(AND(A107&gt;TimeofMaxCD,I107&gt;Traps),IF(AugerModel="Sinton",CalcImpliedV(SampleDoping,O107),CalcImpliedVRichter(O107,SampleDoping,V107)),"")</f>
        <v>0.52112450600565341</v>
      </c>
      <c r="Y107" s="253">
        <f t="shared" si="68"/>
        <v>0.68724486269603124</v>
      </c>
      <c r="Z107" s="200" t="str">
        <f t="shared" si="69"/>
        <v/>
      </c>
      <c r="AE107" s="251">
        <f t="shared" si="70"/>
        <v>1661.946595516165</v>
      </c>
    </row>
    <row r="108" spans="1:31" x14ac:dyDescent="0.2">
      <c r="A108" s="244">
        <v>9.9500000000000005E-3</v>
      </c>
      <c r="B108" s="244">
        <v>2.284E-3</v>
      </c>
      <c r="C108" s="245">
        <v>6.2179999999999996E-3</v>
      </c>
      <c r="D108" s="246">
        <f>IF(CouplingMode="AC",B108-(A$11-A$10)*SUM(B$9:B108)/0.21,B108)</f>
        <v>2.284E-3</v>
      </c>
      <c r="E108" s="247">
        <f t="shared" si="58"/>
        <v>0.65523829538076162</v>
      </c>
      <c r="F108" s="247">
        <f t="shared" si="59"/>
        <v>0.65523829538076162</v>
      </c>
      <c r="G108" s="248">
        <f t="shared" si="60"/>
        <v>1.7252154369014061E+17</v>
      </c>
      <c r="H108" s="249">
        <f t="shared" si="61"/>
        <v>6.7284198840469184E-5</v>
      </c>
      <c r="I108" s="248">
        <f>IF(MobilityModel=DK,CalcDeltaN(H108,SampleDoping,Thickness,AreaFrac),CalcDeltaNDL(H108,AreaFrac,Thickness,SampleType,SampleDoping,Temperature))</f>
        <v>7220395884827.8486</v>
      </c>
      <c r="J108" s="248" t="str">
        <f t="shared" si="62"/>
        <v/>
      </c>
      <c r="K108" s="248">
        <f t="shared" si="63"/>
        <v>7220395884827.8486</v>
      </c>
      <c r="L108" s="250">
        <f t="shared" si="71"/>
        <v>-3417675665230857</v>
      </c>
      <c r="M108" s="196" t="str">
        <f t="shared" si="64"/>
        <v/>
      </c>
      <c r="N108" s="196" t="str">
        <f t="shared" si="65"/>
        <v/>
      </c>
      <c r="O108" s="250">
        <f t="shared" si="66"/>
        <v>7220395884827.8486</v>
      </c>
      <c r="P108" s="248">
        <f t="shared" si="72"/>
        <v>1.4638099775625164E-6</v>
      </c>
      <c r="Q108" s="250" t="str">
        <f t="shared" ref="Q108:Q133" si="73">IF($J108="","",P108)</f>
        <v/>
      </c>
      <c r="R108" s="251" t="str">
        <f t="shared" si="57"/>
        <v/>
      </c>
      <c r="S108" s="252">
        <f>IF(AND(E108&gt;0.95*BiasLight,E108&lt;1.05*BiasLight),"",IF(AugerModel="Sinton",calclifetimeauger(Auger_Coefficient,I108,P108),calclifetimerichter(SampleType,I108,SampleDoping,P108)))</f>
        <v>683148.77969234902</v>
      </c>
      <c r="T108" s="201" t="str">
        <f t="shared" ref="T108:T133" si="74">IF($J108="","",S108)</f>
        <v/>
      </c>
      <c r="U108" s="252">
        <f t="shared" si="67"/>
        <v>379641.84071171255</v>
      </c>
      <c r="V108" s="251" t="str">
        <f>IF(AugerModel="Sinton","",IF(SampleType="n-type",n_intr_boltzmann(SampleDoping,0,K108,Temperature+273.15),n_intr_boltzmann(0,SampleDoping,K108,Temperature+273.15)))</f>
        <v/>
      </c>
      <c r="W108" s="251" t="str">
        <f t="shared" si="51"/>
        <v/>
      </c>
      <c r="X108" s="246">
        <f>IF(AND(A108&gt;TimeofMaxCD,I108&gt;Traps),IF(AugerModel="Sinton",CalcImpliedV(SampleDoping,O108),CalcImpliedVRichter(O108,SampleDoping,V108)),"")</f>
        <v>0.51793965578562151</v>
      </c>
      <c r="Y108" s="253">
        <f t="shared" si="68"/>
        <v>0.655692608027868</v>
      </c>
      <c r="Z108" s="200" t="str">
        <f t="shared" si="69"/>
        <v/>
      </c>
      <c r="AE108" s="251">
        <f t="shared" si="70"/>
        <v>1661.9636449732043</v>
      </c>
    </row>
    <row r="109" spans="1:31" x14ac:dyDescent="0.2">
      <c r="A109" s="244">
        <v>1.005E-2</v>
      </c>
      <c r="B109" s="244">
        <v>2.4780000000000002E-3</v>
      </c>
      <c r="C109" s="245">
        <v>5.973E-3</v>
      </c>
      <c r="D109" s="246">
        <f>IF(CouplingMode="AC",B109-(A$11-A$10)*SUM(B$9:B109)/0.21,B109)</f>
        <v>2.4780000000000002E-3</v>
      </c>
      <c r="E109" s="247">
        <f t="shared" si="58"/>
        <v>0.62942076846402206</v>
      </c>
      <c r="F109" s="247">
        <f t="shared" si="59"/>
        <v>0.62942076846402206</v>
      </c>
      <c r="G109" s="248">
        <f t="shared" si="60"/>
        <v>1.6572389521730621E+17</v>
      </c>
      <c r="H109" s="249">
        <f t="shared" si="61"/>
        <v>7.2999325802972082E-5</v>
      </c>
      <c r="I109" s="248">
        <f>IF(MobilityModel=DK,CalcDeltaN(H109,SampleDoping,Thickness,AreaFrac),CalcDeltaNDL(H109,AreaFrac,Thickness,SampleType,SampleDoping,Temperature))</f>
        <v>7833748870549.1162</v>
      </c>
      <c r="J109" s="248" t="str">
        <f t="shared" si="62"/>
        <v/>
      </c>
      <c r="K109" s="248">
        <f t="shared" si="63"/>
        <v>7833748870549.1162</v>
      </c>
      <c r="L109" s="250">
        <f t="shared" si="71"/>
        <v>-866265239158707</v>
      </c>
      <c r="M109" s="196" t="str">
        <f t="shared" si="64"/>
        <v/>
      </c>
      <c r="N109" s="196" t="str">
        <f t="shared" si="65"/>
        <v/>
      </c>
      <c r="O109" s="250">
        <f t="shared" si="66"/>
        <v>7833748870549.1162</v>
      </c>
      <c r="P109" s="248">
        <f t="shared" si="72"/>
        <v>1.6541432222110987E-6</v>
      </c>
      <c r="Q109" s="250" t="str">
        <f t="shared" si="73"/>
        <v/>
      </c>
      <c r="R109" s="251" t="str">
        <f t="shared" ref="R109:R133" si="75">IF(Q109="","",1/Q109)</f>
        <v/>
      </c>
      <c r="S109" s="252">
        <f>IF(AND(E109&gt;0.95*BiasLight,E109&lt;1.05*BiasLight),"",IF(AugerModel="Sinton",calclifetimeauger(Auger_Coefficient,I109,P109),calclifetimerichter(SampleType,I109,SampleDoping,P109)))</f>
        <v>604542.57310004195</v>
      </c>
      <c r="T109" s="201" t="str">
        <f t="shared" si="74"/>
        <v/>
      </c>
      <c r="U109" s="252">
        <f t="shared" si="67"/>
        <v>379617.01038596063</v>
      </c>
      <c r="V109" s="251" t="str">
        <f>IF(AugerModel="Sinton","",IF(SampleType="n-type",n_intr_boltzmann(SampleDoping,0,K109,Temperature+273.15),n_intr_boltzmann(0,SampleDoping,K109,Temperature+273.15)))</f>
        <v/>
      </c>
      <c r="W109" s="251" t="str">
        <f t="shared" si="51"/>
        <v/>
      </c>
      <c r="X109" s="246">
        <f>IF(AND(A109&gt;TimeofMaxCD,I109&gt;Traps),IF(AugerModel="Sinton",CalcImpliedV(SampleDoping,O109),CalcImpliedVRichter(O109,SampleDoping,V109)),"")</f>
        <v>0.5200368945093462</v>
      </c>
      <c r="Y109" s="253">
        <f t="shared" si="68"/>
        <v>0.62953592136103409</v>
      </c>
      <c r="Z109" s="200" t="str">
        <f t="shared" si="69"/>
        <v/>
      </c>
      <c r="AE109" s="251">
        <f t="shared" si="70"/>
        <v>1661.9526562377064</v>
      </c>
    </row>
    <row r="110" spans="1:31" x14ac:dyDescent="0.2">
      <c r="A110" s="244">
        <v>1.0149999999999999E-2</v>
      </c>
      <c r="B110" s="244">
        <v>2.0079999999999998E-3</v>
      </c>
      <c r="C110" s="245">
        <v>5.6899999999999997E-3</v>
      </c>
      <c r="D110" s="246">
        <f>IF(CouplingMode="AC",B110-(A$11-A$10)*SUM(B$9:B110)/0.21,B110)</f>
        <v>2.0079999999999998E-3</v>
      </c>
      <c r="E110" s="247">
        <f t="shared" si="58"/>
        <v>0.59959889043366565</v>
      </c>
      <c r="F110" s="247">
        <f t="shared" si="59"/>
        <v>0.59959889043366565</v>
      </c>
      <c r="G110" s="248">
        <f t="shared" si="60"/>
        <v>1.5787191759358314E+17</v>
      </c>
      <c r="H110" s="249">
        <f t="shared" si="61"/>
        <v>5.9153425105557683E-5</v>
      </c>
      <c r="I110" s="248">
        <f>IF(MobilityModel=DK,CalcDeltaN(H110,SampleDoping,Thickness,AreaFrac),CalcDeltaNDL(H110,AreaFrac,Thickness,SampleType,SampleDoping,Temperature))</f>
        <v>6347807313656.8789</v>
      </c>
      <c r="J110" s="248" t="str">
        <f t="shared" si="62"/>
        <v/>
      </c>
      <c r="K110" s="248">
        <f t="shared" si="63"/>
        <v>6347807313656.8789</v>
      </c>
      <c r="L110" s="250">
        <f t="shared" si="71"/>
        <v>-2257323663893643.5</v>
      </c>
      <c r="M110" s="196" t="str">
        <f t="shared" si="64"/>
        <v/>
      </c>
      <c r="N110" s="196" t="str">
        <f t="shared" si="65"/>
        <v/>
      </c>
      <c r="O110" s="250">
        <f t="shared" si="66"/>
        <v>6347807313656.8789</v>
      </c>
      <c r="P110" s="248">
        <f t="shared" si="72"/>
        <v>1.4065967482910029E-6</v>
      </c>
      <c r="Q110" s="250" t="str">
        <f t="shared" si="73"/>
        <v/>
      </c>
      <c r="R110" s="251" t="str">
        <f t="shared" si="75"/>
        <v/>
      </c>
      <c r="S110" s="252">
        <f>IF(AND(E110&gt;0.95*BiasLight,E110&lt;1.05*BiasLight),"",IF(AugerModel="Sinton",calclifetimeauger(Auger_Coefficient,I110,P110),calclifetimerichter(SampleType,I110,SampleDoping,P110)))</f>
        <v>710935.81093579321</v>
      </c>
      <c r="T110" s="201" t="str">
        <f t="shared" si="74"/>
        <v/>
      </c>
      <c r="U110" s="252">
        <f t="shared" si="67"/>
        <v>379677.16565342463</v>
      </c>
      <c r="V110" s="251" t="str">
        <f>IF(AugerModel="Sinton","",IF(SampleType="n-type",n_intr_boltzmann(SampleDoping,0,K110,Temperature+273.15),n_intr_boltzmann(0,SampleDoping,K110,Temperature+273.15)))</f>
        <v/>
      </c>
      <c r="W110" s="251" t="str">
        <f t="shared" si="51"/>
        <v/>
      </c>
      <c r="X110" s="246">
        <f>IF(AND(A110&gt;TimeofMaxCD,I110&gt;Traps),IF(AugerModel="Sinton",CalcImpliedV(SampleDoping,O110),CalcImpliedVRichter(O110,SampleDoping,V110)),"")</f>
        <v>0.51462693754754119</v>
      </c>
      <c r="Y110" s="253">
        <f t="shared" si="68"/>
        <v>0.59989895714261421</v>
      </c>
      <c r="Z110" s="200" t="str">
        <f t="shared" si="69"/>
        <v/>
      </c>
      <c r="AE110" s="251">
        <f t="shared" si="70"/>
        <v>1661.9792787375725</v>
      </c>
    </row>
    <row r="111" spans="1:31" x14ac:dyDescent="0.2">
      <c r="A111" s="244">
        <v>1.025E-2</v>
      </c>
      <c r="B111" s="244">
        <v>2.5860000000000002E-3</v>
      </c>
      <c r="C111" s="245">
        <v>5.4619999999999998E-3</v>
      </c>
      <c r="D111" s="246">
        <f>IF(CouplingMode="AC",B111-(A$11-A$10)*SUM(B$9:B111)/0.21,B111)</f>
        <v>2.5860000000000002E-3</v>
      </c>
      <c r="E111" s="247">
        <f t="shared" si="58"/>
        <v>0.57557278375196519</v>
      </c>
      <c r="F111" s="247">
        <f t="shared" si="59"/>
        <v>0.57557278375196519</v>
      </c>
      <c r="G111" s="248">
        <f t="shared" si="60"/>
        <v>1.5154594268825152E+17</v>
      </c>
      <c r="H111" s="249">
        <f t="shared" si="61"/>
        <v>7.618094927358543E-5</v>
      </c>
      <c r="I111" s="248">
        <f>IF(MobilityModel=DK,CalcDeltaN(H111,SampleDoping,Thickness,AreaFrac),CalcDeltaNDL(H111,AreaFrac,Thickness,SampleType,SampleDoping,Temperature))</f>
        <v>8175207310848.332</v>
      </c>
      <c r="J111" s="248" t="str">
        <f t="shared" si="62"/>
        <v/>
      </c>
      <c r="K111" s="248">
        <f t="shared" si="63"/>
        <v>8175207310848.332</v>
      </c>
      <c r="L111" s="250">
        <f t="shared" si="71"/>
        <v>-2658887032895940</v>
      </c>
      <c r="M111" s="196" t="str">
        <f t="shared" si="64"/>
        <v/>
      </c>
      <c r="N111" s="196" t="str">
        <f t="shared" si="65"/>
        <v/>
      </c>
      <c r="O111" s="250">
        <f t="shared" si="66"/>
        <v>8175207310848.332</v>
      </c>
      <c r="P111" s="248">
        <f t="shared" si="72"/>
        <v>1.8869304653363125E-6</v>
      </c>
      <c r="Q111" s="250" t="str">
        <f t="shared" si="73"/>
        <v/>
      </c>
      <c r="R111" s="251" t="str">
        <f t="shared" si="75"/>
        <v/>
      </c>
      <c r="S111" s="252">
        <f>IF(AND(E111&gt;0.95*BiasLight,E111&lt;1.05*BiasLight),"",IF(AugerModel="Sinton",calclifetimeauger(Auger_Coefficient,I111,P111),calclifetimerichter(SampleType,I111,SampleDoping,P111)))</f>
        <v>529961.23501160543</v>
      </c>
      <c r="T111" s="201" t="str">
        <f t="shared" si="74"/>
        <v/>
      </c>
      <c r="U111" s="252">
        <f t="shared" si="67"/>
        <v>379603.18714795454</v>
      </c>
      <c r="V111" s="251" t="str">
        <f>IF(AugerModel="Sinton","",IF(SampleType="n-type",n_intr_boltzmann(SampleDoping,0,K111,Temperature+273.15),n_intr_boltzmann(0,SampleDoping,K111,Temperature+273.15)))</f>
        <v/>
      </c>
      <c r="W111" s="251" t="str">
        <f t="shared" si="51"/>
        <v/>
      </c>
      <c r="X111" s="246">
        <f>IF(AND(A111&gt;TimeofMaxCD,I111&gt;Traps),IF(AugerModel="Sinton",CalcImpliedV(SampleDoping,O111),CalcImpliedVRichter(O111,SampleDoping,V111)),"")</f>
        <v>0.5211344571366533</v>
      </c>
      <c r="Y111" s="253">
        <f t="shared" si="68"/>
        <v>0.57592623039951019</v>
      </c>
      <c r="Z111" s="200" t="str">
        <f t="shared" si="69"/>
        <v/>
      </c>
      <c r="AE111" s="251">
        <f t="shared" si="70"/>
        <v>1661.9465388741617</v>
      </c>
    </row>
    <row r="112" spans="1:31" x14ac:dyDescent="0.2">
      <c r="A112" s="244">
        <v>1.035E-2</v>
      </c>
      <c r="B112" s="244">
        <v>1.8730000000000001E-3</v>
      </c>
      <c r="C112" s="245">
        <v>5.2329999999999998E-3</v>
      </c>
      <c r="D112" s="246">
        <f>IF(CouplingMode="AC",B112-(A$11-A$10)*SUM(B$9:B112)/0.21,B112)</f>
        <v>1.8730000000000001E-3</v>
      </c>
      <c r="E112" s="247">
        <f t="shared" si="58"/>
        <v>0.55144129940938014</v>
      </c>
      <c r="F112" s="247">
        <f t="shared" si="59"/>
        <v>0.55144129940938014</v>
      </c>
      <c r="G112" s="248">
        <f t="shared" si="60"/>
        <v>1.4519222227894918E+17</v>
      </c>
      <c r="H112" s="249">
        <f t="shared" si="61"/>
        <v>5.5176427098693748E-5</v>
      </c>
      <c r="I112" s="248">
        <f>IF(MobilityModel=DK,CalcDeltaN(H112,SampleDoping,Thickness,AreaFrac),CalcDeltaNDL(H112,AreaFrac,Thickness,SampleType,SampleDoping,Temperature))</f>
        <v>5921004832731.415</v>
      </c>
      <c r="J112" s="248" t="str">
        <f t="shared" si="62"/>
        <v/>
      </c>
      <c r="K112" s="248">
        <f t="shared" si="63"/>
        <v>5921004832731.415</v>
      </c>
      <c r="L112" s="250">
        <f t="shared" si="71"/>
        <v>742946482659463.37</v>
      </c>
      <c r="M112" s="196" t="str">
        <f t="shared" si="64"/>
        <v/>
      </c>
      <c r="N112" s="196" t="str">
        <f t="shared" si="65"/>
        <v/>
      </c>
      <c r="O112" s="250">
        <f t="shared" si="66"/>
        <v>5921004832731.415</v>
      </c>
      <c r="P112" s="248">
        <f t="shared" si="72"/>
        <v>1.4275715821222056E-6</v>
      </c>
      <c r="Q112" s="250" t="str">
        <f t="shared" si="73"/>
        <v/>
      </c>
      <c r="R112" s="251" t="str">
        <f t="shared" si="75"/>
        <v/>
      </c>
      <c r="S112" s="252">
        <f>IF(AND(E112&gt;0.95*BiasLight,E112&lt;1.05*BiasLight),"",IF(AugerModel="Sinton",calclifetimeauger(Auger_Coefficient,I112,P112),calclifetimerichter(SampleType,I112,SampleDoping,P112)))</f>
        <v>700490.26783675223</v>
      </c>
      <c r="T112" s="201" t="str">
        <f t="shared" si="74"/>
        <v/>
      </c>
      <c r="U112" s="252">
        <f t="shared" si="67"/>
        <v>379694.44386822073</v>
      </c>
      <c r="V112" s="251" t="str">
        <f>IF(AugerModel="Sinton","",IF(SampleType="n-type",n_intr_boltzmann(SampleDoping,0,K112,Temperature+273.15),n_intr_boltzmann(0,SampleDoping,K112,Temperature+273.15)))</f>
        <v/>
      </c>
      <c r="W112" s="251" t="str">
        <f t="shared" si="51"/>
        <v/>
      </c>
      <c r="X112" s="246">
        <f>IF(AND(A112&gt;TimeofMaxCD,I112&gt;Traps),IF(AugerModel="Sinton",CalcImpliedV(SampleDoping,O112),CalcImpliedVRichter(O112,SampleDoping,V112)),"")</f>
        <v>0.51283695203768276</v>
      </c>
      <c r="Y112" s="253">
        <f t="shared" si="68"/>
        <v>0.55134253931150745</v>
      </c>
      <c r="Z112" s="200" t="str">
        <f t="shared" si="69"/>
        <v/>
      </c>
      <c r="AE112" s="251">
        <f t="shared" si="70"/>
        <v>1661.986925818268</v>
      </c>
    </row>
    <row r="113" spans="1:31" x14ac:dyDescent="0.2">
      <c r="A113" s="244">
        <v>1.0449999999999999E-2</v>
      </c>
      <c r="B113" s="244">
        <v>2.1250000000000002E-3</v>
      </c>
      <c r="C113" s="245">
        <v>5.0099999999999997E-3</v>
      </c>
      <c r="D113" s="246">
        <f>IF(CouplingMode="AC",B113-(A$11-A$10)*SUM(B$9:B113)/0.21,B113)</f>
        <v>2.1250000000000002E-3</v>
      </c>
      <c r="E113" s="247">
        <f t="shared" si="58"/>
        <v>0.52794208103210283</v>
      </c>
      <c r="F113" s="247">
        <f t="shared" si="59"/>
        <v>0.52794208103210283</v>
      </c>
      <c r="G113" s="248">
        <f t="shared" si="60"/>
        <v>1.3900497489347128E+17</v>
      </c>
      <c r="H113" s="249">
        <f t="shared" si="61"/>
        <v>6.2600162495762834E-5</v>
      </c>
      <c r="I113" s="248">
        <f>IF(MobilityModel=DK,CalcDeltaN(H113,SampleDoping,Thickness,AreaFrac),CalcDeltaNDL(H113,AreaFrac,Thickness,SampleType,SampleDoping,Temperature))</f>
        <v>6717706594563.874</v>
      </c>
      <c r="J113" s="248" t="str">
        <f t="shared" si="62"/>
        <v/>
      </c>
      <c r="K113" s="248">
        <f t="shared" si="63"/>
        <v>6717706594563.874</v>
      </c>
      <c r="L113" s="250">
        <f t="shared" si="71"/>
        <v>-1710452515405217.7</v>
      </c>
      <c r="M113" s="196" t="str">
        <f t="shared" si="64"/>
        <v/>
      </c>
      <c r="N113" s="196" t="str">
        <f t="shared" si="65"/>
        <v/>
      </c>
      <c r="O113" s="250">
        <f t="shared" si="66"/>
        <v>6717706594563.874</v>
      </c>
      <c r="P113" s="248">
        <f t="shared" si="72"/>
        <v>1.6907201674625746E-6</v>
      </c>
      <c r="Q113" s="250" t="str">
        <f t="shared" si="73"/>
        <v/>
      </c>
      <c r="R113" s="251" t="str">
        <f t="shared" si="75"/>
        <v/>
      </c>
      <c r="S113" s="252">
        <f>IF(AND(E113&gt;0.95*BiasLight,E113&lt;1.05*BiasLight),"",IF(AugerModel="Sinton",calclifetimeauger(Auger_Coefficient,I113,P113),calclifetimerichter(SampleType,I113,SampleDoping,P113)))</f>
        <v>591463.93301390659</v>
      </c>
      <c r="T113" s="201" t="str">
        <f t="shared" si="74"/>
        <v/>
      </c>
      <c r="U113" s="252">
        <f t="shared" si="67"/>
        <v>379662.19104686996</v>
      </c>
      <c r="V113" s="251" t="str">
        <f>IF(AugerModel="Sinton","",IF(SampleType="n-type",n_intr_boltzmann(SampleDoping,0,K113,Temperature+273.15),n_intr_boltzmann(0,SampleDoping,K113,Temperature+273.15)))</f>
        <v/>
      </c>
      <c r="W113" s="251" t="str">
        <f t="shared" si="51"/>
        <v/>
      </c>
      <c r="X113" s="246">
        <f>IF(AND(A113&gt;TimeofMaxCD,I113&gt;Traps),IF(AugerModel="Sinton",CalcImpliedV(SampleDoping,O113),CalcImpliedVRichter(O113,SampleDoping,V113)),"")</f>
        <v>0.51608357839980046</v>
      </c>
      <c r="Y113" s="253">
        <f t="shared" si="68"/>
        <v>0.52816945199592158</v>
      </c>
      <c r="Z113" s="200" t="str">
        <f t="shared" si="69"/>
        <v/>
      </c>
      <c r="AE113" s="251">
        <f t="shared" si="70"/>
        <v>1661.9726513371074</v>
      </c>
    </row>
    <row r="114" spans="1:31" x14ac:dyDescent="0.2">
      <c r="A114" s="244">
        <v>1.055E-2</v>
      </c>
      <c r="B114" s="244">
        <v>2.356E-3</v>
      </c>
      <c r="C114" s="245">
        <v>4.7920000000000003E-3</v>
      </c>
      <c r="D114" s="246">
        <f>IF(CouplingMode="AC",B114-(A$11-A$10)*SUM(B$9:B114)/0.21,B114)</f>
        <v>2.356E-3</v>
      </c>
      <c r="E114" s="247">
        <f t="shared" si="58"/>
        <v>0.5049697509592489</v>
      </c>
      <c r="F114" s="247">
        <f t="shared" si="59"/>
        <v>0.5049697509592489</v>
      </c>
      <c r="G114" s="248">
        <f t="shared" si="60"/>
        <v>1.3295645502784718E+17</v>
      </c>
      <c r="H114" s="249">
        <f t="shared" si="61"/>
        <v>6.9405275165138752E-5</v>
      </c>
      <c r="I114" s="248">
        <f>IF(MobilityModel=DK,CalcDeltaN(H114,SampleDoping,Thickness,AreaFrac),CalcDeltaNDL(H114,AreaFrac,Thickness,SampleType,SampleDoping,Temperature))</f>
        <v>7448030913128.833</v>
      </c>
      <c r="J114" s="248" t="str">
        <f t="shared" si="62"/>
        <v/>
      </c>
      <c r="K114" s="248">
        <f t="shared" si="63"/>
        <v>7448030913128.833</v>
      </c>
      <c r="L114" s="250">
        <f t="shared" si="71"/>
        <v>-161238581616856.87</v>
      </c>
      <c r="M114" s="196" t="str">
        <f t="shared" si="64"/>
        <v/>
      </c>
      <c r="N114" s="196" t="str">
        <f t="shared" si="65"/>
        <v/>
      </c>
      <c r="O114" s="250">
        <f t="shared" si="66"/>
        <v>7448030913128.833</v>
      </c>
      <c r="P114" s="248">
        <f t="shared" si="72"/>
        <v>1.9605668467867845E-6</v>
      </c>
      <c r="Q114" s="250" t="str">
        <f t="shared" si="73"/>
        <v/>
      </c>
      <c r="R114" s="251" t="str">
        <f t="shared" si="75"/>
        <v/>
      </c>
      <c r="S114" s="252">
        <f>IF(AND(E114&gt;0.95*BiasLight,E114&lt;1.05*BiasLight),"",IF(AugerModel="Sinton",calclifetimeauger(Auger_Coefficient,I114,P114),calclifetimerichter(SampleType,I114,SampleDoping,P114)))</f>
        <v>510056.56933268154</v>
      </c>
      <c r="T114" s="201" t="str">
        <f t="shared" si="74"/>
        <v/>
      </c>
      <c r="U114" s="252">
        <f t="shared" si="67"/>
        <v>379632.62537888321</v>
      </c>
      <c r="V114" s="251" t="str">
        <f>IF(AugerModel="Sinton","",IF(SampleType="n-type",n_intr_boltzmann(SampleDoping,0,K114,Temperature+273.15),n_intr_boltzmann(0,SampleDoping,K114,Temperature+273.15)))</f>
        <v/>
      </c>
      <c r="W114" s="251" t="str">
        <f t="shared" si="51"/>
        <v/>
      </c>
      <c r="X114" s="246">
        <f>IF(AND(A114&gt;TimeofMaxCD,I114&gt;Traps),IF(AugerModel="Sinton",CalcImpliedV(SampleDoping,O114),CalcImpliedVRichter(O114,SampleDoping,V114)),"")</f>
        <v>0.51873807204960132</v>
      </c>
      <c r="Y114" s="253">
        <f t="shared" si="68"/>
        <v>0.50499118445206825</v>
      </c>
      <c r="Z114" s="200" t="str">
        <f t="shared" si="69"/>
        <v/>
      </c>
      <c r="AE114" s="251">
        <f t="shared" si="70"/>
        <v>1661.9595666589237</v>
      </c>
    </row>
    <row r="115" spans="1:31" x14ac:dyDescent="0.2">
      <c r="A115" s="244">
        <v>1.065E-2</v>
      </c>
      <c r="B115" s="244">
        <v>2.0739999999999999E-3</v>
      </c>
      <c r="C115" s="245">
        <v>4.6080000000000001E-3</v>
      </c>
      <c r="D115" s="246">
        <f>IF(CouplingMode="AC",B115-(A$11-A$10)*SUM(B$9:B115)/0.21,B115)</f>
        <v>2.0739999999999999E-3</v>
      </c>
      <c r="E115" s="247">
        <f t="shared" si="58"/>
        <v>0.48558026135647309</v>
      </c>
      <c r="F115" s="247">
        <f t="shared" si="59"/>
        <v>0.48558026135647309</v>
      </c>
      <c r="G115" s="248">
        <f t="shared" si="60"/>
        <v>1.278512822972287E+17</v>
      </c>
      <c r="H115" s="249">
        <f t="shared" si="61"/>
        <v>6.1097737844809097E-5</v>
      </c>
      <c r="I115" s="248">
        <f>IF(MobilityModel=DK,CalcDeltaN(H115,SampleDoping,Thickness,AreaFrac),CalcDeltaNDL(H115,AreaFrac,Thickness,SampleType,SampleDoping,Temperature))</f>
        <v>6556468012947.0098</v>
      </c>
      <c r="J115" s="248" t="str">
        <f t="shared" si="62"/>
        <v/>
      </c>
      <c r="K115" s="248">
        <f t="shared" si="63"/>
        <v>6556468012947.0098</v>
      </c>
      <c r="L115" s="250">
        <f t="shared" si="71"/>
        <v>-2943386383724823.5</v>
      </c>
      <c r="M115" s="196" t="str">
        <f t="shared" si="64"/>
        <v/>
      </c>
      <c r="N115" s="196" t="str">
        <f t="shared" si="65"/>
        <v/>
      </c>
      <c r="O115" s="250">
        <f t="shared" si="66"/>
        <v>6556468012947.0098</v>
      </c>
      <c r="P115" s="248">
        <f t="shared" si="72"/>
        <v>1.7934245193897764E-6</v>
      </c>
      <c r="Q115" s="250" t="str">
        <f t="shared" si="73"/>
        <v/>
      </c>
      <c r="R115" s="251" t="str">
        <f t="shared" si="75"/>
        <v/>
      </c>
      <c r="S115" s="252">
        <f>IF(AND(E115&gt;0.95*BiasLight,E115&lt;1.05*BiasLight),"",IF(AugerModel="Sinton",calclifetimeauger(Auger_Coefficient,I115,P115),calclifetimerichter(SampleType,I115,SampleDoping,P115)))</f>
        <v>557592.4657326974</v>
      </c>
      <c r="T115" s="201" t="str">
        <f t="shared" si="74"/>
        <v/>
      </c>
      <c r="U115" s="252">
        <f t="shared" si="67"/>
        <v>379668.71845702123</v>
      </c>
      <c r="V115" s="251" t="str">
        <f>IF(AugerModel="Sinton","",IF(SampleType="n-type",n_intr_boltzmann(SampleDoping,0,K115,Temperature+273.15),n_intr_boltzmann(0,SampleDoping,K115,Temperature+273.15)))</f>
        <v/>
      </c>
      <c r="W115" s="251" t="str">
        <f t="shared" si="51"/>
        <v/>
      </c>
      <c r="X115" s="246">
        <f>IF(AND(A115&gt;TimeofMaxCD,I115&gt;Traps),IF(AugerModel="Sinton",CalcImpliedV(SampleDoping,O115),CalcImpliedVRichter(O115,SampleDoping,V115)),"")</f>
        <v>0.51545873660388064</v>
      </c>
      <c r="Y115" s="253">
        <f t="shared" si="68"/>
        <v>0.48597152658770937</v>
      </c>
      <c r="Z115" s="200" t="str">
        <f t="shared" si="69"/>
        <v/>
      </c>
      <c r="AE115" s="251">
        <f t="shared" si="70"/>
        <v>1661.9755401960458</v>
      </c>
    </row>
    <row r="116" spans="1:31" x14ac:dyDescent="0.2">
      <c r="A116" s="244">
        <v>1.0749999999999999E-2</v>
      </c>
      <c r="B116" s="244">
        <v>1.8730000000000001E-3</v>
      </c>
      <c r="C116" s="245">
        <v>4.3779999999999999E-3</v>
      </c>
      <c r="D116" s="246">
        <f>IF(CouplingMode="AC",B116-(A$11-A$10)*SUM(B$9:B116)/0.21,B116)</f>
        <v>1.8730000000000001E-3</v>
      </c>
      <c r="E116" s="247">
        <f t="shared" si="58"/>
        <v>0.46134339935300328</v>
      </c>
      <c r="F116" s="247">
        <f t="shared" si="59"/>
        <v>0.46134339935300328</v>
      </c>
      <c r="G116" s="248">
        <f t="shared" si="60"/>
        <v>1.2146981638395555E+17</v>
      </c>
      <c r="H116" s="249">
        <f t="shared" si="61"/>
        <v>5.5176427098693748E-5</v>
      </c>
      <c r="I116" s="248">
        <f>IF(MobilityModel=DK,CalcDeltaN(H116,SampleDoping,Thickness,AreaFrac),CalcDeltaNDL(H116,AreaFrac,Thickness,SampleType,SampleDoping,Temperature))</f>
        <v>5921004832731.415</v>
      </c>
      <c r="J116" s="248" t="str">
        <f t="shared" si="62"/>
        <v/>
      </c>
      <c r="K116" s="248">
        <f t="shared" si="63"/>
        <v>5921004832731.415</v>
      </c>
      <c r="L116" s="250">
        <f t="shared" si="71"/>
        <v>-1881128208753362</v>
      </c>
      <c r="M116" s="196" t="str">
        <f t="shared" si="64"/>
        <v/>
      </c>
      <c r="N116" s="196" t="str">
        <f t="shared" si="65"/>
        <v/>
      </c>
      <c r="O116" s="250">
        <f t="shared" si="66"/>
        <v>5921004832731.415</v>
      </c>
      <c r="P116" s="248">
        <f t="shared" si="72"/>
        <v>1.7051388554245829E-6</v>
      </c>
      <c r="Q116" s="250" t="str">
        <f t="shared" si="73"/>
        <v/>
      </c>
      <c r="R116" s="251" t="str">
        <f t="shared" si="75"/>
        <v/>
      </c>
      <c r="S116" s="252">
        <f>IF(AND(E116&gt;0.95*BiasLight,E116&lt;1.05*BiasLight),"",IF(AugerModel="Sinton",calclifetimeauger(Auger_Coefficient,I116,P116),calclifetimerichter(SampleType,I116,SampleDoping,P116)))</f>
        <v>586462.50228798203</v>
      </c>
      <c r="T116" s="201" t="str">
        <f t="shared" si="74"/>
        <v/>
      </c>
      <c r="U116" s="252">
        <f t="shared" si="67"/>
        <v>379694.44386822073</v>
      </c>
      <c r="V116" s="251" t="str">
        <f>IF(AugerModel="Sinton","",IF(SampleType="n-type",n_intr_boltzmann(SampleDoping,0,K116,Temperature+273.15),n_intr_boltzmann(0,SampleDoping,K116,Temperature+273.15)))</f>
        <v/>
      </c>
      <c r="W116" s="251" t="str">
        <f t="shared" si="51"/>
        <v/>
      </c>
      <c r="X116" s="246">
        <f>IF(AND(A116&gt;TimeofMaxCD,I116&gt;Traps),IF(AugerModel="Sinton",CalcImpliedV(SampleDoping,O116),CalcImpliedVRichter(O116,SampleDoping,V116)),"")</f>
        <v>0.51283695203768276</v>
      </c>
      <c r="Y116" s="253">
        <f t="shared" si="68"/>
        <v>0.46159345828772308</v>
      </c>
      <c r="Z116" s="200" t="str">
        <f t="shared" si="69"/>
        <v/>
      </c>
      <c r="AE116" s="251">
        <f t="shared" si="70"/>
        <v>1661.986925818268</v>
      </c>
    </row>
    <row r="117" spans="1:31" x14ac:dyDescent="0.2">
      <c r="A117" s="244">
        <v>1.085E-2</v>
      </c>
      <c r="B117" s="244">
        <v>1.9009999999999999E-3</v>
      </c>
      <c r="C117" s="245">
        <v>4.1869999999999997E-3</v>
      </c>
      <c r="D117" s="246">
        <f>IF(CouplingMode="AC",B117-(A$11-A$10)*SUM(B$9:B117)/0.21,B117)</f>
        <v>1.9009999999999999E-3</v>
      </c>
      <c r="E117" s="247">
        <f t="shared" si="58"/>
        <v>0.44121626612403486</v>
      </c>
      <c r="F117" s="247">
        <f t="shared" si="59"/>
        <v>0.44121626612403486</v>
      </c>
      <c r="G117" s="248">
        <f t="shared" si="60"/>
        <v>1.1617042512554178E+17</v>
      </c>
      <c r="H117" s="249">
        <f t="shared" si="61"/>
        <v>5.6001285356793717E-5</v>
      </c>
      <c r="I117" s="248">
        <f>IF(MobilityModel=DK,CalcDeltaN(H117,SampleDoping,Thickness,AreaFrac),CalcDeltaNDL(H117,AreaFrac,Thickness,SampleType,SampleDoping,Temperature))</f>
        <v>6009526442900.166</v>
      </c>
      <c r="J117" s="248" t="str">
        <f t="shared" si="62"/>
        <v/>
      </c>
      <c r="K117" s="248">
        <f t="shared" si="63"/>
        <v>6009526442900.166</v>
      </c>
      <c r="L117" s="250">
        <f t="shared" si="71"/>
        <v>1416364783387098</v>
      </c>
      <c r="M117" s="196" t="str">
        <f t="shared" si="64"/>
        <v/>
      </c>
      <c r="N117" s="196" t="str">
        <f t="shared" si="65"/>
        <v/>
      </c>
      <c r="O117" s="250">
        <f t="shared" si="66"/>
        <v>6009526442900.166</v>
      </c>
      <c r="P117" s="248">
        <f t="shared" si="72"/>
        <v>1.811332084032812E-6</v>
      </c>
      <c r="Q117" s="250" t="str">
        <f t="shared" si="73"/>
        <v/>
      </c>
      <c r="R117" s="251" t="str">
        <f t="shared" si="75"/>
        <v/>
      </c>
      <c r="S117" s="252">
        <f>IF(AND(E117&gt;0.95*BiasLight,E117&lt;1.05*BiasLight),"",IF(AugerModel="Sinton",calclifetimeauger(Auger_Coefficient,I117,P117),calclifetimerichter(SampleType,I117,SampleDoping,P117)))</f>
        <v>552079.88016475504</v>
      </c>
      <c r="T117" s="201" t="str">
        <f t="shared" si="74"/>
        <v/>
      </c>
      <c r="U117" s="252">
        <f t="shared" si="67"/>
        <v>379690.86025410658</v>
      </c>
      <c r="V117" s="251" t="str">
        <f>IF(AugerModel="Sinton","",IF(SampleType="n-type",n_intr_boltzmann(SampleDoping,0,K117,Temperature+273.15),n_intr_boltzmann(0,SampleDoping,K117,Temperature+273.15)))</f>
        <v/>
      </c>
      <c r="W117" s="251" t="str">
        <f t="shared" si="51"/>
        <v/>
      </c>
      <c r="X117" s="246">
        <f>IF(AND(A117&gt;TimeofMaxCD,I117&gt;Traps),IF(AugerModel="Sinton",CalcImpliedV(SampleDoping,O117),CalcImpliedVRichter(O117,SampleDoping,V117)),"")</f>
        <v>0.51321857537925497</v>
      </c>
      <c r="Y117" s="253">
        <f t="shared" si="68"/>
        <v>0.44102798833028317</v>
      </c>
      <c r="Z117" s="200" t="str">
        <f t="shared" si="69"/>
        <v/>
      </c>
      <c r="AE117" s="251">
        <f t="shared" si="70"/>
        <v>1661.9853397500267</v>
      </c>
    </row>
    <row r="118" spans="1:31" x14ac:dyDescent="0.2">
      <c r="A118" s="244">
        <v>1.095E-2</v>
      </c>
      <c r="B118" s="244">
        <v>2.1450000000000002E-3</v>
      </c>
      <c r="C118" s="245">
        <v>4.0049999999999999E-3</v>
      </c>
      <c r="D118" s="246">
        <f>IF(CouplingMode="AC",B118-(A$11-A$10)*SUM(B$9:B118)/0.21,B118)</f>
        <v>2.1450000000000002E-3</v>
      </c>
      <c r="E118" s="247">
        <f t="shared" si="58"/>
        <v>0.42203753184302834</v>
      </c>
      <c r="F118" s="247">
        <f t="shared" si="59"/>
        <v>0.42203753184302834</v>
      </c>
      <c r="G118" s="248">
        <f t="shared" si="60"/>
        <v>1.1112074340286478E+17</v>
      </c>
      <c r="H118" s="249">
        <f t="shared" si="61"/>
        <v>6.3189348911973919E-5</v>
      </c>
      <c r="I118" s="248">
        <f>IF(MobilityModel=DK,CalcDeltaN(H118,SampleDoping,Thickness,AreaFrac),CalcDeltaNDL(H118,AreaFrac,Thickness,SampleType,SampleDoping,Temperature))</f>
        <v>6780937593775.5723</v>
      </c>
      <c r="J118" s="248" t="str">
        <f t="shared" si="62"/>
        <v/>
      </c>
      <c r="K118" s="248">
        <f t="shared" si="63"/>
        <v>6780937593775.5723</v>
      </c>
      <c r="L118" s="250">
        <f t="shared" si="71"/>
        <v>995877822446863.5</v>
      </c>
      <c r="M118" s="196" t="str">
        <f t="shared" si="64"/>
        <v/>
      </c>
      <c r="N118" s="196" t="str">
        <f t="shared" si="65"/>
        <v/>
      </c>
      <c r="O118" s="250">
        <f t="shared" si="66"/>
        <v>6780937593775.5723</v>
      </c>
      <c r="P118" s="248">
        <f t="shared" si="72"/>
        <v>2.1364803463405376E-6</v>
      </c>
      <c r="Q118" s="250" t="str">
        <f t="shared" si="73"/>
        <v/>
      </c>
      <c r="R118" s="251" t="str">
        <f t="shared" si="75"/>
        <v/>
      </c>
      <c r="S118" s="252">
        <f>IF(AND(E118&gt;0.95*BiasLight,E118&lt;1.05*BiasLight),"",IF(AugerModel="Sinton",calclifetimeauger(Auger_Coefficient,I118,P118),calclifetimerichter(SampleType,I118,SampleDoping,P118)))</f>
        <v>468059.53611966129</v>
      </c>
      <c r="T118" s="201" t="str">
        <f t="shared" si="74"/>
        <v/>
      </c>
      <c r="U118" s="252">
        <f t="shared" si="67"/>
        <v>379659.63127077918</v>
      </c>
      <c r="V118" s="251" t="str">
        <f>IF(AugerModel="Sinton","",IF(SampleType="n-type",n_intr_boltzmann(SampleDoping,0,K118,Temperature+273.15),n_intr_boltzmann(0,SampleDoping,K118,Temperature+273.15)))</f>
        <v/>
      </c>
      <c r="W118" s="251" t="str">
        <f t="shared" si="51"/>
        <v/>
      </c>
      <c r="X118" s="246">
        <f>IF(AND(A118&gt;TimeofMaxCD,I118&gt;Traps),IF(AugerModel="Sinton",CalcImpliedV(SampleDoping,O118),CalcImpliedVRichter(O118,SampleDoping,V118)),"")</f>
        <v>0.5163245349217731</v>
      </c>
      <c r="Y118" s="253">
        <f t="shared" si="68"/>
        <v>0.42190514950660213</v>
      </c>
      <c r="Z118" s="200" t="str">
        <f t="shared" si="69"/>
        <v/>
      </c>
      <c r="AE118" s="251">
        <f t="shared" si="70"/>
        <v>1661.9715184545951</v>
      </c>
    </row>
    <row r="119" spans="1:31" x14ac:dyDescent="0.2">
      <c r="A119" s="244">
        <v>1.1050000000000001E-2</v>
      </c>
      <c r="B119" s="244">
        <v>2.1619999999999999E-3</v>
      </c>
      <c r="C119" s="245">
        <v>3.8479999999999999E-3</v>
      </c>
      <c r="D119" s="246">
        <f>IF(CouplingMode="AC",B119-(A$11-A$10)*SUM(B$9:B119)/0.21,B119)</f>
        <v>2.1619999999999999E-3</v>
      </c>
      <c r="E119" s="247">
        <f t="shared" si="58"/>
        <v>0.40549323908413809</v>
      </c>
      <c r="F119" s="247">
        <f t="shared" si="59"/>
        <v>0.40549323908413809</v>
      </c>
      <c r="G119" s="248">
        <f t="shared" si="60"/>
        <v>1.0676469927945659E+17</v>
      </c>
      <c r="H119" s="249">
        <f t="shared" si="61"/>
        <v>6.3690157489151855E-5</v>
      </c>
      <c r="I119" s="248">
        <f>IF(MobilityModel=DK,CalcDeltaN(H119,SampleDoping,Thickness,AreaFrac),CalcDeltaNDL(H119,AreaFrac,Thickness,SampleType,SampleDoping,Temperature))</f>
        <v>6834684024118.4814</v>
      </c>
      <c r="J119" s="248" t="str">
        <f t="shared" si="62"/>
        <v/>
      </c>
      <c r="K119" s="248">
        <f t="shared" si="63"/>
        <v>6834684024118.4814</v>
      </c>
      <c r="L119" s="250">
        <f t="shared" si="71"/>
        <v>-799864553777961.75</v>
      </c>
      <c r="M119" s="196" t="str">
        <f t="shared" si="64"/>
        <v/>
      </c>
      <c r="N119" s="196" t="str">
        <f t="shared" si="65"/>
        <v/>
      </c>
      <c r="O119" s="250">
        <f t="shared" si="66"/>
        <v>6834684024118.4814</v>
      </c>
      <c r="P119" s="248">
        <f t="shared" si="72"/>
        <v>2.2399841288502048E-6</v>
      </c>
      <c r="Q119" s="250" t="str">
        <f t="shared" si="73"/>
        <v/>
      </c>
      <c r="R119" s="251" t="str">
        <f t="shared" si="75"/>
        <v/>
      </c>
      <c r="S119" s="252">
        <f>IF(AND(E119&gt;0.95*BiasLight,E119&lt;1.05*BiasLight),"",IF(AugerModel="Sinton",calclifetimeauger(Auger_Coefficient,I119,P119),calclifetimerichter(SampleType,I119,SampleDoping,P119)))</f>
        <v>446431.73446930136</v>
      </c>
      <c r="T119" s="201" t="str">
        <f t="shared" si="74"/>
        <v/>
      </c>
      <c r="U119" s="252">
        <f t="shared" si="67"/>
        <v>379657.45545782242</v>
      </c>
      <c r="V119" s="251" t="str">
        <f>IF(AugerModel="Sinton","",IF(SampleType="n-type",n_intr_boltzmann(SampleDoping,0,K119,Temperature+273.15),n_intr_boltzmann(0,SampleDoping,K119,Temperature+273.15)))</f>
        <v/>
      </c>
      <c r="W119" s="251" t="str">
        <f t="shared" si="51"/>
        <v/>
      </c>
      <c r="X119" s="246">
        <f>IF(AND(A119&gt;TimeofMaxCD,I119&gt;Traps),IF(AugerModel="Sinton",CalcImpliedV(SampleDoping,O119),CalcImpliedVRichter(O119,SampleDoping,V119)),"")</f>
        <v>0.51652759023651496</v>
      </c>
      <c r="Y119" s="253">
        <f t="shared" si="68"/>
        <v>0.40559956531820712</v>
      </c>
      <c r="Z119" s="200" t="str">
        <f t="shared" si="69"/>
        <v/>
      </c>
      <c r="AE119" s="251">
        <f t="shared" si="70"/>
        <v>1661.9705555059415</v>
      </c>
    </row>
    <row r="120" spans="1:31" x14ac:dyDescent="0.2">
      <c r="A120" s="244">
        <v>1.115E-2</v>
      </c>
      <c r="B120" s="244">
        <v>1.9E-3</v>
      </c>
      <c r="C120" s="245">
        <v>3.6849999999999999E-3</v>
      </c>
      <c r="D120" s="246">
        <f>IF(CouplingMode="AC",B120-(A$11-A$10)*SUM(B$9:B120)/0.21,B120)</f>
        <v>1.9E-3</v>
      </c>
      <c r="E120" s="247">
        <f t="shared" si="58"/>
        <v>0.38831668035993994</v>
      </c>
      <c r="F120" s="247">
        <f t="shared" si="59"/>
        <v>0.38831668035993994</v>
      </c>
      <c r="G120" s="248">
        <f t="shared" si="60"/>
        <v>1.022421821322239E+17</v>
      </c>
      <c r="H120" s="249">
        <f t="shared" si="61"/>
        <v>5.5971826127997754E-5</v>
      </c>
      <c r="I120" s="248">
        <f>IF(MobilityModel=DK,CalcDeltaN(H120,SampleDoping,Thickness,AreaFrac),CalcDeltaNDL(H120,AreaFrac,Thickness,SampleType,SampleDoping,Temperature))</f>
        <v>6006364953345.6895</v>
      </c>
      <c r="J120" s="248" t="str">
        <f t="shared" si="62"/>
        <v/>
      </c>
      <c r="K120" s="248">
        <f t="shared" si="63"/>
        <v>6006364953345.6895</v>
      </c>
      <c r="L120" s="250">
        <f t="shared" si="71"/>
        <v>-774572461403294.25</v>
      </c>
      <c r="M120" s="196" t="str">
        <f t="shared" si="64"/>
        <v/>
      </c>
      <c r="N120" s="196" t="str">
        <f t="shared" si="65"/>
        <v/>
      </c>
      <c r="O120" s="250">
        <f t="shared" si="66"/>
        <v>6006364953345.6895</v>
      </c>
      <c r="P120" s="248">
        <f t="shared" si="72"/>
        <v>2.0555806040096064E-6</v>
      </c>
      <c r="Q120" s="250" t="str">
        <f t="shared" si="73"/>
        <v/>
      </c>
      <c r="R120" s="251" t="str">
        <f t="shared" si="75"/>
        <v/>
      </c>
      <c r="S120" s="252">
        <f>IF(AND(E120&gt;0.95*BiasLight,E120&lt;1.05*BiasLight),"",IF(AugerModel="Sinton",calclifetimeauger(Auger_Coefficient,I120,P120),calclifetimerichter(SampleType,I120,SampleDoping,P120)))</f>
        <v>486480.55830372317</v>
      </c>
      <c r="T120" s="201" t="str">
        <f t="shared" si="74"/>
        <v/>
      </c>
      <c r="U120" s="252">
        <f t="shared" si="67"/>
        <v>379690.9882404657</v>
      </c>
      <c r="V120" s="251" t="str">
        <f>IF(AugerModel="Sinton","",IF(SampleType="n-type",n_intr_boltzmann(SampleDoping,0,K120,Temperature+273.15),n_intr_boltzmann(0,SampleDoping,K120,Temperature+273.15)))</f>
        <v/>
      </c>
      <c r="W120" s="251" t="str">
        <f t="shared" si="51"/>
        <v/>
      </c>
      <c r="X120" s="246">
        <f>IF(AND(A120&gt;TimeofMaxCD,I120&gt;Traps),IF(AugerModel="Sinton",CalcImpliedV(SampleDoping,O120),CalcImpliedVRichter(O120,SampleDoping,V120)),"")</f>
        <v>0.5132050429308207</v>
      </c>
      <c r="Y120" s="253">
        <f t="shared" si="68"/>
        <v>0.38841964450861455</v>
      </c>
      <c r="Z120" s="200" t="str">
        <f t="shared" si="69"/>
        <v/>
      </c>
      <c r="AE120" s="251">
        <f t="shared" si="70"/>
        <v>1661.9853963952573</v>
      </c>
    </row>
    <row r="121" spans="1:31" x14ac:dyDescent="0.2">
      <c r="A121" s="244">
        <v>1.125E-2</v>
      </c>
      <c r="B121" s="244">
        <v>1.897E-3</v>
      </c>
      <c r="C121" s="245">
        <v>3.5100000000000001E-3</v>
      </c>
      <c r="D121" s="246">
        <f>IF(CouplingMode="AC",B121-(A$11-A$10)*SUM(B$9:B121)/0.21,B121)</f>
        <v>1.897E-3</v>
      </c>
      <c r="E121" s="247">
        <f t="shared" si="58"/>
        <v>0.36987558970512596</v>
      </c>
      <c r="F121" s="247">
        <f t="shared" si="59"/>
        <v>0.36987558970512596</v>
      </c>
      <c r="G121" s="248">
        <f t="shared" si="60"/>
        <v>9.738671893734216E+16</v>
      </c>
      <c r="H121" s="249">
        <f t="shared" si="61"/>
        <v>5.5883448443948269E-5</v>
      </c>
      <c r="I121" s="248">
        <f>IF(MobilityModel=DK,CalcDeltaN(H121,SampleDoping,Thickness,AreaFrac),CalcDeltaNDL(H121,AreaFrac,Thickness,SampleType,SampleDoping,Temperature))</f>
        <v>5996880486226.126</v>
      </c>
      <c r="J121" s="248" t="str">
        <f t="shared" si="62"/>
        <v/>
      </c>
      <c r="K121" s="248">
        <f t="shared" si="63"/>
        <v>5996880486226.126</v>
      </c>
      <c r="L121" s="250">
        <f t="shared" si="71"/>
        <v>-2178264162006147</v>
      </c>
      <c r="M121" s="196" t="str">
        <f t="shared" si="64"/>
        <v/>
      </c>
      <c r="N121" s="196" t="str">
        <f t="shared" si="65"/>
        <v/>
      </c>
      <c r="O121" s="250">
        <f t="shared" si="66"/>
        <v>5996880486226.126</v>
      </c>
      <c r="P121" s="248">
        <f t="shared" si="72"/>
        <v>2.1535444945533989E-6</v>
      </c>
      <c r="Q121" s="250" t="str">
        <f t="shared" si="73"/>
        <v/>
      </c>
      <c r="R121" s="251" t="str">
        <f t="shared" si="75"/>
        <v/>
      </c>
      <c r="S121" s="252">
        <f>IF(AND(E121&gt;0.95*BiasLight,E121&lt;1.05*BiasLight),"",IF(AugerModel="Sinton",calclifetimeauger(Auger_Coefficient,I121,P121),calclifetimerichter(SampleType,I121,SampleDoping,P121)))</f>
        <v>464350.74938111159</v>
      </c>
      <c r="T121" s="201" t="str">
        <f t="shared" si="74"/>
        <v/>
      </c>
      <c r="U121" s="252">
        <f t="shared" si="67"/>
        <v>379691.37219948054</v>
      </c>
      <c r="V121" s="251" t="str">
        <f>IF(AugerModel="Sinton","",IF(SampleType="n-type",n_intr_boltzmann(SampleDoping,0,K121,Temperature+273.15),n_intr_boltzmann(0,SampleDoping,K121,Temperature+273.15)))</f>
        <v/>
      </c>
      <c r="W121" s="251" t="str">
        <f t="shared" si="51"/>
        <v/>
      </c>
      <c r="X121" s="246">
        <f>IF(AND(A121&gt;TimeofMaxCD,I121&gt;Traps),IF(AugerModel="Sinton",CalcImpliedV(SampleDoping,O121),CalcImpliedVRichter(O121,SampleDoping,V121)),"")</f>
        <v>0.51316440285740605</v>
      </c>
      <c r="Y121" s="253">
        <f t="shared" si="68"/>
        <v>0.37016514701087194</v>
      </c>
      <c r="Z121" s="200" t="str">
        <f t="shared" si="69"/>
        <v/>
      </c>
      <c r="AE121" s="251">
        <f t="shared" si="70"/>
        <v>1661.9855663309781</v>
      </c>
    </row>
    <row r="122" spans="1:31" x14ac:dyDescent="0.2">
      <c r="A122" s="244">
        <v>1.1350000000000001E-2</v>
      </c>
      <c r="B122" s="244">
        <v>2.1549999999999998E-3</v>
      </c>
      <c r="C122" s="245">
        <v>3.3519999999999999E-3</v>
      </c>
      <c r="D122" s="246">
        <f>IF(CouplingMode="AC",B122-(A$11-A$10)*SUM(B$9:B122)/0.21,B122)</f>
        <v>2.1549999999999998E-3</v>
      </c>
      <c r="E122" s="247">
        <f t="shared" si="58"/>
        <v>0.35322591928535108</v>
      </c>
      <c r="F122" s="247">
        <f t="shared" si="59"/>
        <v>0.35322591928535108</v>
      </c>
      <c r="G122" s="248">
        <f t="shared" si="60"/>
        <v>9.3002929309963232E+16</v>
      </c>
      <c r="H122" s="249">
        <f t="shared" si="61"/>
        <v>6.348394217893169E-5</v>
      </c>
      <c r="I122" s="248">
        <f>IF(MobilityModel=DK,CalcDeltaN(H122,SampleDoping,Thickness,AreaFrac),CalcDeltaNDL(H122,AreaFrac,Thickness,SampleType,SampleDoping,Temperature))</f>
        <v>6812553132020.0996</v>
      </c>
      <c r="J122" s="248" t="str">
        <f t="shared" si="62"/>
        <v/>
      </c>
      <c r="K122" s="248">
        <f t="shared" si="63"/>
        <v>6812553132020.0996</v>
      </c>
      <c r="L122" s="250">
        <f t="shared" si="71"/>
        <v>-4422826527185300.5</v>
      </c>
      <c r="M122" s="196" t="str">
        <f t="shared" si="64"/>
        <v/>
      </c>
      <c r="N122" s="196" t="str">
        <f t="shared" si="65"/>
        <v/>
      </c>
      <c r="O122" s="250">
        <f t="shared" si="66"/>
        <v>6812553132020.0996</v>
      </c>
      <c r="P122" s="248">
        <f t="shared" si="72"/>
        <v>2.5595231241628771E-6</v>
      </c>
      <c r="Q122" s="250" t="str">
        <f t="shared" si="73"/>
        <v/>
      </c>
      <c r="R122" s="251" t="str">
        <f t="shared" si="75"/>
        <v/>
      </c>
      <c r="S122" s="252">
        <f>IF(AND(E122&gt;0.95*BiasLight,E122&lt;1.05*BiasLight),"",IF(AugerModel="Sinton",calclifetimeauger(Auger_Coefficient,I122,P122),calclifetimerichter(SampleType,I122,SampleDoping,P122)))</f>
        <v>390697.77895828587</v>
      </c>
      <c r="T122" s="201" t="str">
        <f t="shared" si="74"/>
        <v/>
      </c>
      <c r="U122" s="252">
        <f t="shared" si="67"/>
        <v>379658.35138116963</v>
      </c>
      <c r="V122" s="251" t="str">
        <f>IF(AugerModel="Sinton","",IF(SampleType="n-type",n_intr_boltzmann(SampleDoping,0,K122,Temperature+273.15),n_intr_boltzmann(0,SampleDoping,K122,Temperature+273.15)))</f>
        <v/>
      </c>
      <c r="W122" s="251" t="str">
        <f t="shared" si="51"/>
        <v/>
      </c>
      <c r="X122" s="246">
        <f>IF(AND(A122&gt;TimeofMaxCD,I122&gt;Traps),IF(AugerModel="Sinton",CalcImpliedV(SampleDoping,O122),CalcImpliedVRichter(O122,SampleDoping,V122)),"")</f>
        <v>0.51644417302050105</v>
      </c>
      <c r="Y122" s="253">
        <f t="shared" si="68"/>
        <v>0.35381384693679563</v>
      </c>
      <c r="Z122" s="200" t="str">
        <f t="shared" si="69"/>
        <v/>
      </c>
      <c r="AE122" s="251">
        <f t="shared" si="70"/>
        <v>1661.9709520140455</v>
      </c>
    </row>
    <row r="123" spans="1:31" x14ac:dyDescent="0.2">
      <c r="A123" s="244">
        <v>1.145E-2</v>
      </c>
      <c r="B123" s="244">
        <v>1.6900000000000001E-3</v>
      </c>
      <c r="C123" s="245">
        <v>3.202E-3</v>
      </c>
      <c r="D123" s="246">
        <f>IF(CouplingMode="AC",B123-(A$11-A$10)*SUM(B$9:B123)/0.21,B123)</f>
        <v>1.6900000000000001E-3</v>
      </c>
      <c r="E123" s="247">
        <f t="shared" si="58"/>
        <v>0.33741927015265338</v>
      </c>
      <c r="F123" s="247">
        <f t="shared" si="59"/>
        <v>0.33741927015265338</v>
      </c>
      <c r="G123" s="248">
        <f t="shared" si="60"/>
        <v>8.884110371435032E+16</v>
      </c>
      <c r="H123" s="249">
        <f t="shared" si="61"/>
        <v>4.9785396772722423E-5</v>
      </c>
      <c r="I123" s="248">
        <f>IF(MobilityModel=DK,CalcDeltaN(H123,SampleDoping,Thickness,AreaFrac),CalcDeltaNDL(H123,AreaFrac,Thickness,SampleType,SampleDoping,Temperature))</f>
        <v>5342457853778.2002</v>
      </c>
      <c r="J123" s="248" t="str">
        <f t="shared" si="62"/>
        <v/>
      </c>
      <c r="K123" s="248">
        <f t="shared" si="63"/>
        <v>5342457853778.2002</v>
      </c>
      <c r="L123" s="250">
        <f t="shared" si="71"/>
        <v>-4309055434953175</v>
      </c>
      <c r="M123" s="196" t="str">
        <f t="shared" si="64"/>
        <v/>
      </c>
      <c r="N123" s="196" t="str">
        <f t="shared" si="65"/>
        <v/>
      </c>
      <c r="O123" s="250">
        <f t="shared" si="66"/>
        <v>5342457853778.2002</v>
      </c>
      <c r="P123" s="248">
        <f t="shared" si="72"/>
        <v>2.1011573130108301E-6</v>
      </c>
      <c r="Q123" s="250" t="str">
        <f t="shared" si="73"/>
        <v/>
      </c>
      <c r="R123" s="251" t="str">
        <f t="shared" si="75"/>
        <v/>
      </c>
      <c r="S123" s="252">
        <f>IF(AND(E123&gt;0.95*BiasLight,E123&lt;1.05*BiasLight),"",IF(AugerModel="Sinton",calclifetimeauger(Auger_Coefficient,I123,P123),calclifetimerichter(SampleType,I123,SampleDoping,P123)))</f>
        <v>475928.19143441925</v>
      </c>
      <c r="T123" s="201" t="str">
        <f t="shared" si="74"/>
        <v/>
      </c>
      <c r="U123" s="252">
        <f t="shared" si="67"/>
        <v>379717.86514485034</v>
      </c>
      <c r="V123" s="251" t="str">
        <f>IF(AugerModel="Sinton","",IF(SampleType="n-type",n_intr_boltzmann(SampleDoping,0,K123,Temperature+273.15),n_intr_boltzmann(0,SampleDoping,K123,Temperature+273.15)))</f>
        <v/>
      </c>
      <c r="W123" s="251" t="str">
        <f t="shared" si="51"/>
        <v/>
      </c>
      <c r="X123" s="246">
        <f>IF(AND(A123&gt;TimeofMaxCD,I123&gt;Traps),IF(AugerModel="Sinton",CalcImpliedV(SampleDoping,O123),CalcImpliedVRichter(O123,SampleDoping,V123)),"")</f>
        <v>0.51019295228772532</v>
      </c>
      <c r="Y123" s="253">
        <f t="shared" si="68"/>
        <v>0.33799207417882182</v>
      </c>
      <c r="Z123" s="200" t="str">
        <f t="shared" si="69"/>
        <v/>
      </c>
      <c r="AE123" s="251">
        <f t="shared" si="70"/>
        <v>1661.9972919981167</v>
      </c>
    </row>
    <row r="124" spans="1:31" x14ac:dyDescent="0.2">
      <c r="A124" s="244">
        <v>1.155E-2</v>
      </c>
      <c r="B124" s="244">
        <v>1.304E-3</v>
      </c>
      <c r="C124" s="245">
        <v>3.0460000000000001E-3</v>
      </c>
      <c r="D124" s="246">
        <f>IF(CouplingMode="AC",B124-(A$11-A$10)*SUM(B$9:B124)/0.21,B124)</f>
        <v>1.304E-3</v>
      </c>
      <c r="E124" s="247">
        <f t="shared" si="58"/>
        <v>0.32098035505464778</v>
      </c>
      <c r="F124" s="247">
        <f t="shared" si="59"/>
        <v>0.32098035505464778</v>
      </c>
      <c r="G124" s="248">
        <f t="shared" si="60"/>
        <v>8.4512805094912896E+16</v>
      </c>
      <c r="H124" s="249">
        <f t="shared" si="61"/>
        <v>3.8414195567056109E-5</v>
      </c>
      <c r="I124" s="248">
        <f>IF(MobilityModel=DK,CalcDeltaN(H124,SampleDoping,Thickness,AreaFrac),CalcDeltaNDL(H124,AreaFrac,Thickness,SampleType,SampleDoping,Temperature))</f>
        <v>4122163005976.998</v>
      </c>
      <c r="J124" s="248" t="str">
        <f t="shared" si="62"/>
        <v/>
      </c>
      <c r="K124" s="248">
        <f t="shared" si="63"/>
        <v>4122163005976.998</v>
      </c>
      <c r="L124" s="250">
        <f t="shared" si="71"/>
        <v>-2209893636814981.2</v>
      </c>
      <c r="M124" s="196" t="str">
        <f t="shared" si="64"/>
        <v/>
      </c>
      <c r="N124" s="196" t="str">
        <f t="shared" si="65"/>
        <v/>
      </c>
      <c r="O124" s="250">
        <f t="shared" si="66"/>
        <v>4122163005976.998</v>
      </c>
      <c r="P124" s="248">
        <f t="shared" si="72"/>
        <v>1.7055851404541614E-6</v>
      </c>
      <c r="Q124" s="250" t="str">
        <f t="shared" si="73"/>
        <v/>
      </c>
      <c r="R124" s="251" t="str">
        <f t="shared" si="75"/>
        <v/>
      </c>
      <c r="S124" s="252">
        <f>IF(AND(E124&gt;0.95*BiasLight,E124&lt;1.05*BiasLight),"",IF(AugerModel="Sinton",calclifetimeauger(Auger_Coefficient,I124,P124),calclifetimerichter(SampleType,I124,SampleDoping,P124)))</f>
        <v>586309.04798197967</v>
      </c>
      <c r="T124" s="201" t="str">
        <f t="shared" si="74"/>
        <v/>
      </c>
      <c r="U124" s="252">
        <f t="shared" si="67"/>
        <v>379767.26625528699</v>
      </c>
      <c r="V124" s="251" t="str">
        <f>IF(AugerModel="Sinton","",IF(SampleType="n-type",n_intr_boltzmann(SampleDoping,0,K124,Temperature+273.15),n_intr_boltzmann(0,SampleDoping,K124,Temperature+273.15)))</f>
        <v/>
      </c>
      <c r="W124" s="251" t="str">
        <f t="shared" si="51"/>
        <v/>
      </c>
      <c r="X124" s="246">
        <f>IF(AND(A124&gt;TimeofMaxCD,I124&gt;Traps),IF(AugerModel="Sinton",CalcImpliedV(SampleDoping,O124),CalcImpliedVRichter(O124,SampleDoping,V124)),"")</f>
        <v>0.50352596637055547</v>
      </c>
      <c r="Y124" s="253">
        <f t="shared" si="68"/>
        <v>0.32127411687592861</v>
      </c>
      <c r="Z124" s="200" t="str">
        <f t="shared" si="69"/>
        <v/>
      </c>
      <c r="AE124" s="251">
        <f t="shared" si="70"/>
        <v>1662.0191577912426</v>
      </c>
    </row>
    <row r="125" spans="1:31" x14ac:dyDescent="0.2">
      <c r="A125" s="244">
        <v>1.1650000000000001E-2</v>
      </c>
      <c r="B125" s="244">
        <v>1.6410000000000001E-3</v>
      </c>
      <c r="C125" s="245">
        <v>2.921E-3</v>
      </c>
      <c r="D125" s="246">
        <f>IF(CouplingMode="AC",B125-(A$11-A$10)*SUM(B$9:B125)/0.21,B125)</f>
        <v>1.6410000000000001E-3</v>
      </c>
      <c r="E125" s="247">
        <f t="shared" si="58"/>
        <v>0.30780814744406637</v>
      </c>
      <c r="F125" s="247">
        <f t="shared" si="59"/>
        <v>0.30780814744406637</v>
      </c>
      <c r="G125" s="248">
        <f t="shared" si="60"/>
        <v>8.10446170985688E+16</v>
      </c>
      <c r="H125" s="249">
        <f t="shared" si="61"/>
        <v>4.8341899079585443E-5</v>
      </c>
      <c r="I125" s="248">
        <f>IF(MobilityModel=DK,CalcDeltaN(H125,SampleDoping,Thickness,AreaFrac),CalcDeltaNDL(H125,AreaFrac,Thickness,SampleType,SampleDoping,Temperature))</f>
        <v>5187547831771.0791</v>
      </c>
      <c r="J125" s="248" t="str">
        <f t="shared" si="62"/>
        <v/>
      </c>
      <c r="K125" s="248">
        <f t="shared" si="63"/>
        <v>5187547831771.0791</v>
      </c>
      <c r="L125" s="250">
        <f t="shared" si="71"/>
        <v>1833616014331270.7</v>
      </c>
      <c r="M125" s="196" t="str">
        <f t="shared" si="64"/>
        <v/>
      </c>
      <c r="N125" s="196" t="str">
        <f t="shared" si="65"/>
        <v/>
      </c>
      <c r="O125" s="250">
        <f t="shared" si="66"/>
        <v>5187547831771.0791</v>
      </c>
      <c r="P125" s="248">
        <f t="shared" si="72"/>
        <v>2.242074418286701E-6</v>
      </c>
      <c r="Q125" s="250" t="str">
        <f t="shared" si="73"/>
        <v/>
      </c>
      <c r="R125" s="251" t="str">
        <f t="shared" si="75"/>
        <v/>
      </c>
      <c r="S125" s="252">
        <f>IF(AND(E125&gt;0.95*BiasLight,E125&lt;1.05*BiasLight),"",IF(AugerModel="Sinton",calclifetimeauger(Auger_Coefficient,I125,P125),calclifetimerichter(SampleType,I125,SampleDoping,P125)))</f>
        <v>446015.52550784673</v>
      </c>
      <c r="T125" s="201" t="str">
        <f t="shared" si="74"/>
        <v/>
      </c>
      <c r="U125" s="252">
        <f t="shared" si="67"/>
        <v>379724.13635636837</v>
      </c>
      <c r="V125" s="251" t="str">
        <f>IF(AugerModel="Sinton","",IF(SampleType="n-type",n_intr_boltzmann(SampleDoping,0,K125,Temperature+273.15),n_intr_boltzmann(0,SampleDoping,K125,Temperature+273.15)))</f>
        <v/>
      </c>
      <c r="W125" s="251" t="str">
        <f t="shared" si="51"/>
        <v/>
      </c>
      <c r="X125" s="246">
        <f>IF(AND(A125&gt;TimeofMaxCD,I125&gt;Traps),IF(AugerModel="Sinton",CalcImpliedV(SampleDoping,O125),CalcImpliedVRichter(O125,SampleDoping,V125)),"")</f>
        <v>0.50943634993458975</v>
      </c>
      <c r="Y125" s="253">
        <f t="shared" si="68"/>
        <v>0.30756440431954396</v>
      </c>
      <c r="Z125" s="200" t="str">
        <f t="shared" si="69"/>
        <v/>
      </c>
      <c r="AE125" s="251">
        <f t="shared" si="70"/>
        <v>1662.0000676686905</v>
      </c>
    </row>
    <row r="126" spans="1:31" x14ac:dyDescent="0.2">
      <c r="A126" s="244">
        <v>1.175E-2</v>
      </c>
      <c r="B126" s="244">
        <v>1.83E-3</v>
      </c>
      <c r="C126" s="245">
        <v>2.7759999999999998E-3</v>
      </c>
      <c r="D126" s="246">
        <f>IF(CouplingMode="AC",B126-(A$11-A$10)*SUM(B$9:B126)/0.21,B126)</f>
        <v>1.83E-3</v>
      </c>
      <c r="E126" s="247">
        <f t="shared" si="58"/>
        <v>0.29252838661579189</v>
      </c>
      <c r="F126" s="247">
        <f t="shared" si="59"/>
        <v>0.29252838661579189</v>
      </c>
      <c r="G126" s="248">
        <f t="shared" si="60"/>
        <v>7.7021519022809632E+16</v>
      </c>
      <c r="H126" s="249">
        <f t="shared" si="61"/>
        <v>5.3909681086979772E-5</v>
      </c>
      <c r="I126" s="248">
        <f>IF(MobilityModel=DK,CalcDeltaN(H126,SampleDoping,Thickness,AreaFrac),CalcDeltaNDL(H126,AreaFrac,Thickness,SampleType,SampleDoping,Temperature))</f>
        <v>5785061324616.1641</v>
      </c>
      <c r="J126" s="248" t="str">
        <f t="shared" si="62"/>
        <v/>
      </c>
      <c r="K126" s="248">
        <f t="shared" si="63"/>
        <v>5785061324616.1641</v>
      </c>
      <c r="L126" s="250">
        <f t="shared" si="71"/>
        <v>4388052423067632</v>
      </c>
      <c r="M126" s="196" t="str">
        <f t="shared" si="64"/>
        <v/>
      </c>
      <c r="N126" s="196" t="str">
        <f t="shared" si="65"/>
        <v/>
      </c>
      <c r="O126" s="250">
        <f t="shared" si="66"/>
        <v>5785061324616.1641</v>
      </c>
      <c r="P126" s="248">
        <f t="shared" si="72"/>
        <v>2.6340910627840923E-6</v>
      </c>
      <c r="Q126" s="250" t="str">
        <f t="shared" si="73"/>
        <v/>
      </c>
      <c r="R126" s="251" t="str">
        <f t="shared" si="75"/>
        <v/>
      </c>
      <c r="S126" s="252">
        <f>IF(AND(E126&gt;0.95*BiasLight,E126&lt;1.05*BiasLight),"",IF(AugerModel="Sinton",calclifetimeauger(Auger_Coefficient,I126,P126),calclifetimerichter(SampleType,I126,SampleDoping,P126)))</f>
        <v>379637.59643021476</v>
      </c>
      <c r="T126" s="201" t="str">
        <f t="shared" si="74"/>
        <v/>
      </c>
      <c r="U126" s="252">
        <f t="shared" si="67"/>
        <v>379699.94725969178</v>
      </c>
      <c r="V126" s="251" t="str">
        <f>IF(AugerModel="Sinton","",IF(SampleType="n-type",n_intr_boltzmann(SampleDoping,0,K126,Temperature+273.15),n_intr_boltzmann(0,SampleDoping,K126,Temperature+273.15)))</f>
        <v/>
      </c>
      <c r="W126" s="251" t="str">
        <f t="shared" si="51"/>
        <v/>
      </c>
      <c r="X126" s="246">
        <f>IF(AND(A126&gt;TimeofMaxCD,I126&gt;Traps),IF(AugerModel="Sinton",CalcImpliedV(SampleDoping,O126),CalcImpliedVRichter(O126,SampleDoping,V126)),"")</f>
        <v>0.51223964707651015</v>
      </c>
      <c r="Y126" s="253">
        <f t="shared" si="68"/>
        <v>0.29194508149639553</v>
      </c>
      <c r="Z126" s="200" t="str">
        <f t="shared" si="69"/>
        <v/>
      </c>
      <c r="AE126" s="251">
        <f t="shared" si="70"/>
        <v>1661.9893615731173</v>
      </c>
    </row>
    <row r="127" spans="1:31" x14ac:dyDescent="0.2">
      <c r="A127" s="244">
        <v>1.1849999999999999E-2</v>
      </c>
      <c r="B127" s="244">
        <v>1.717E-3</v>
      </c>
      <c r="C127" s="245">
        <v>2.65E-3</v>
      </c>
      <c r="D127" s="246">
        <f>IF(CouplingMode="AC",B127-(A$11-A$10)*SUM(B$9:B127)/0.21,B127)</f>
        <v>1.717E-3</v>
      </c>
      <c r="E127" s="247">
        <f t="shared" si="58"/>
        <v>0.27925080134432589</v>
      </c>
      <c r="F127" s="247">
        <f t="shared" si="59"/>
        <v>0.27925080134432589</v>
      </c>
      <c r="G127" s="248">
        <f t="shared" si="60"/>
        <v>7.3525585522494816E+16</v>
      </c>
      <c r="H127" s="249">
        <f t="shared" si="61"/>
        <v>5.0580793863348045E-5</v>
      </c>
      <c r="I127" s="248">
        <f>IF(MobilityModel=DK,CalcDeltaN(H127,SampleDoping,Thickness,AreaFrac),CalcDeltaNDL(H127,AreaFrac,Thickness,SampleType,SampleDoping,Temperature))</f>
        <v>5427816701624.249</v>
      </c>
      <c r="J127" s="248" t="str">
        <f t="shared" si="62"/>
        <v/>
      </c>
      <c r="K127" s="248">
        <f t="shared" si="63"/>
        <v>5427816701624.249</v>
      </c>
      <c r="L127" s="250">
        <f t="shared" si="71"/>
        <v>335119350032911.12</v>
      </c>
      <c r="M127" s="196" t="str">
        <f t="shared" si="64"/>
        <v/>
      </c>
      <c r="N127" s="196" t="str">
        <f t="shared" si="65"/>
        <v/>
      </c>
      <c r="O127" s="250">
        <f t="shared" si="66"/>
        <v>5427816701624.249</v>
      </c>
      <c r="P127" s="248">
        <f t="shared" si="72"/>
        <v>2.5841874444006093E-6</v>
      </c>
      <c r="Q127" s="250" t="str">
        <f t="shared" si="73"/>
        <v/>
      </c>
      <c r="R127" s="251" t="str">
        <f t="shared" si="75"/>
        <v/>
      </c>
      <c r="S127" s="252">
        <f>IF(AND(E127&gt;0.95*BiasLight,E127&lt;1.05*BiasLight),"",IF(AugerModel="Sinton",calclifetimeauger(Auger_Coefficient,I127,P127),calclifetimerichter(SampleType,I127,SampleDoping,P127)))</f>
        <v>386968.83310086827</v>
      </c>
      <c r="T127" s="201" t="str">
        <f t="shared" si="74"/>
        <v/>
      </c>
      <c r="U127" s="252">
        <f t="shared" si="67"/>
        <v>379714.40956862073</v>
      </c>
      <c r="V127" s="251" t="str">
        <f>IF(AugerModel="Sinton","",IF(SampleType="n-type",n_intr_boltzmann(SampleDoping,0,K127,Temperature+273.15),n_intr_boltzmann(0,SampleDoping,K127,Temperature+273.15)))</f>
        <v/>
      </c>
      <c r="W127" s="251" t="str">
        <f t="shared" si="51"/>
        <v/>
      </c>
      <c r="X127" s="246">
        <f>IF(AND(A127&gt;TimeofMaxCD,I127&gt;Traps),IF(AugerModel="Sinton",CalcImpliedV(SampleDoping,O127),CalcImpliedVRichter(O127,SampleDoping,V127)),"")</f>
        <v>0.51060054390671405</v>
      </c>
      <c r="Y127" s="253">
        <f t="shared" si="68"/>
        <v>0.27920625382901931</v>
      </c>
      <c r="Z127" s="200" t="str">
        <f t="shared" si="69"/>
        <v/>
      </c>
      <c r="AE127" s="251">
        <f t="shared" si="70"/>
        <v>1661.99576255182</v>
      </c>
    </row>
    <row r="128" spans="1:31" x14ac:dyDescent="0.2">
      <c r="A128" s="244">
        <v>1.1950000000000001E-2</v>
      </c>
      <c r="B128" s="244">
        <v>1.9599999999999999E-3</v>
      </c>
      <c r="C128" s="245">
        <v>2.5300000000000001E-3</v>
      </c>
      <c r="D128" s="246">
        <f>IF(CouplingMode="AC",B128-(A$11-A$10)*SUM(B$9:B128)/0.21,B128)</f>
        <v>1.9599999999999999E-3</v>
      </c>
      <c r="E128" s="247">
        <f t="shared" si="58"/>
        <v>0.26660548203816775</v>
      </c>
      <c r="F128" s="247">
        <f t="shared" si="59"/>
        <v>0.26660548203816775</v>
      </c>
      <c r="G128" s="248">
        <f t="shared" si="60"/>
        <v>7.0196125046004472E+16</v>
      </c>
      <c r="H128" s="249">
        <f t="shared" si="61"/>
        <v>5.7739380550522745E-5</v>
      </c>
      <c r="I128" s="248">
        <f>IF(MobilityModel=DK,CalcDeltaN(H128,SampleDoping,Thickness,AreaFrac),CalcDeltaNDL(H128,AreaFrac,Thickness,SampleType,SampleDoping,Temperature))</f>
        <v>6196054782584.2285</v>
      </c>
      <c r="J128" s="248" t="str">
        <f t="shared" si="62"/>
        <v/>
      </c>
      <c r="K128" s="248">
        <f t="shared" si="63"/>
        <v>6196054782584.2285</v>
      </c>
      <c r="L128" s="250">
        <f t="shared" si="71"/>
        <v>-2244616216614172.5</v>
      </c>
      <c r="M128" s="196" t="str">
        <f t="shared" si="64"/>
        <v/>
      </c>
      <c r="N128" s="196" t="str">
        <f t="shared" si="65"/>
        <v/>
      </c>
      <c r="O128" s="250">
        <f t="shared" si="66"/>
        <v>6196054782584.2285</v>
      </c>
      <c r="P128" s="248">
        <f t="shared" si="72"/>
        <v>3.0859179576693104E-6</v>
      </c>
      <c r="Q128" s="250" t="str">
        <f t="shared" si="73"/>
        <v/>
      </c>
      <c r="R128" s="251" t="str">
        <f t="shared" si="75"/>
        <v/>
      </c>
      <c r="S128" s="252">
        <f>IF(AND(E128&gt;0.95*BiasLight,E128&lt;1.05*BiasLight),"",IF(AugerModel="Sinton",calclifetimeauger(Auger_Coefficient,I128,P128),calclifetimerichter(SampleType,I128,SampleDoping,P128)))</f>
        <v>324052.68497760163</v>
      </c>
      <c r="T128" s="201" t="str">
        <f t="shared" si="74"/>
        <v/>
      </c>
      <c r="U128" s="252">
        <f t="shared" si="67"/>
        <v>379683.3090404594</v>
      </c>
      <c r="V128" s="251" t="str">
        <f>IF(AugerModel="Sinton","",IF(SampleType="n-type",n_intr_boltzmann(SampleDoping,0,K128,Temperature+273.15),n_intr_boltzmann(0,SampleDoping,K128,Temperature+273.15)))</f>
        <v/>
      </c>
      <c r="W128" s="251" t="str">
        <f t="shared" si="51"/>
        <v/>
      </c>
      <c r="X128" s="246">
        <f>IF(AND(A128&gt;TimeofMaxCD,I128&gt;Traps),IF(AugerModel="Sinton",CalcImpliedV(SampleDoping,O128),CalcImpliedVRichter(O128,SampleDoping,V128)),"")</f>
        <v>0.51400465726497002</v>
      </c>
      <c r="Y128" s="253">
        <f t="shared" si="68"/>
        <v>0.26690385954235346</v>
      </c>
      <c r="Z128" s="200" t="str">
        <f t="shared" si="69"/>
        <v/>
      </c>
      <c r="AE128" s="251">
        <f t="shared" si="70"/>
        <v>1661.981997689757</v>
      </c>
    </row>
    <row r="129" spans="1:31" x14ac:dyDescent="0.2">
      <c r="A129" s="244">
        <v>1.205E-2</v>
      </c>
      <c r="B129" s="244">
        <v>1.629E-3</v>
      </c>
      <c r="C129" s="245">
        <v>2.4169999999999999E-3</v>
      </c>
      <c r="D129" s="246">
        <f>IF(CouplingMode="AC",B129-(A$11-A$10)*SUM(B$9:B129)/0.21,B129)</f>
        <v>1.629E-3</v>
      </c>
      <c r="E129" s="247">
        <f t="shared" si="58"/>
        <v>0.25469780635820211</v>
      </c>
      <c r="F129" s="247">
        <f t="shared" si="59"/>
        <v>0.25469780635820211</v>
      </c>
      <c r="G129" s="248">
        <f t="shared" si="60"/>
        <v>6.7060883097309408E+16</v>
      </c>
      <c r="H129" s="249">
        <f t="shared" si="61"/>
        <v>4.7988389584054797E-5</v>
      </c>
      <c r="I129" s="248">
        <f>IF(MobilityModel=DK,CalcDeltaN(H129,SampleDoping,Thickness,AreaFrac),CalcDeltaNDL(H129,AreaFrac,Thickness,SampleType,SampleDoping,Temperature))</f>
        <v>5149610777803.501</v>
      </c>
      <c r="J129" s="248" t="str">
        <f t="shared" si="62"/>
        <v/>
      </c>
      <c r="K129" s="248">
        <f t="shared" si="63"/>
        <v>5149610777803.501</v>
      </c>
      <c r="L129" s="250">
        <f t="shared" si="71"/>
        <v>-2380562328997216.5</v>
      </c>
      <c r="M129" s="196" t="str">
        <f t="shared" si="64"/>
        <v/>
      </c>
      <c r="N129" s="196" t="str">
        <f t="shared" si="65"/>
        <v/>
      </c>
      <c r="O129" s="250">
        <f t="shared" si="66"/>
        <v>5149610777803.501</v>
      </c>
      <c r="P129" s="248">
        <f t="shared" si="72"/>
        <v>2.6843177782127876E-6</v>
      </c>
      <c r="Q129" s="250" t="str">
        <f t="shared" si="73"/>
        <v/>
      </c>
      <c r="R129" s="251" t="str">
        <f t="shared" si="75"/>
        <v/>
      </c>
      <c r="S129" s="252">
        <f>IF(AND(E129&gt;0.95*BiasLight,E129&lt;1.05*BiasLight),"",IF(AugerModel="Sinton",calclifetimeauger(Auger_Coefficient,I129,P129),calclifetimerichter(SampleType,I129,SampleDoping,P129)))</f>
        <v>372534.13437049621</v>
      </c>
      <c r="T129" s="201" t="str">
        <f t="shared" si="74"/>
        <v/>
      </c>
      <c r="U129" s="252">
        <f t="shared" si="67"/>
        <v>379725.67215945403</v>
      </c>
      <c r="V129" s="251" t="str">
        <f>IF(AugerModel="Sinton","",IF(SampleType="n-type",n_intr_boltzmann(SampleDoping,0,K129,Temperature+273.15),n_intr_boltzmann(0,SampleDoping,K129,Temperature+273.15)))</f>
        <v/>
      </c>
      <c r="W129" s="251" t="str">
        <f t="shared" si="51"/>
        <v/>
      </c>
      <c r="X129" s="246">
        <f>IF(AND(A129&gt;TimeofMaxCD,I129&gt;Traps),IF(AugerModel="Sinton",CalcImpliedV(SampleDoping,O129),CalcImpliedVRichter(O129,SampleDoping,V129)),"")</f>
        <v>0.50924761917621242</v>
      </c>
      <c r="Y129" s="253">
        <f t="shared" si="68"/>
        <v>0.25501425521971677</v>
      </c>
      <c r="Z129" s="200" t="str">
        <f t="shared" si="69"/>
        <v/>
      </c>
      <c r="AE129" s="251">
        <f t="shared" si="70"/>
        <v>1662.0007474264744</v>
      </c>
    </row>
    <row r="130" spans="1:31" x14ac:dyDescent="0.2">
      <c r="A130" s="244">
        <v>1.2149999999999999E-2</v>
      </c>
      <c r="B130" s="244">
        <v>1.519E-3</v>
      </c>
      <c r="C130" s="245">
        <v>2.3050000000000002E-3</v>
      </c>
      <c r="D130" s="246">
        <f>IF(CouplingMode="AC",B130-(A$11-A$10)*SUM(B$9:B130)/0.21,B130)</f>
        <v>1.519E-3</v>
      </c>
      <c r="E130" s="247">
        <f t="shared" si="58"/>
        <v>0.24289550833912121</v>
      </c>
      <c r="F130" s="247">
        <f t="shared" si="59"/>
        <v>0.24289550833912121</v>
      </c>
      <c r="G130" s="248">
        <f t="shared" si="60"/>
        <v>6.3953386652585104E+16</v>
      </c>
      <c r="H130" s="249">
        <f t="shared" si="61"/>
        <v>4.4747888507803285E-5</v>
      </c>
      <c r="I130" s="248">
        <f>IF(MobilityModel=DK,CalcDeltaN(H130,SampleDoping,Thickness,AreaFrac),CalcDeltaNDL(H130,AreaFrac,Thickness,SampleType,SampleDoping,Temperature))</f>
        <v>4801856178219.4492</v>
      </c>
      <c r="J130" s="248" t="str">
        <f t="shared" si="62"/>
        <v/>
      </c>
      <c r="K130" s="248">
        <f t="shared" si="63"/>
        <v>4801856178219.4492</v>
      </c>
      <c r="L130" s="250">
        <f t="shared" si="71"/>
        <v>-4274242036007293.5</v>
      </c>
      <c r="M130" s="196" t="str">
        <f t="shared" si="64"/>
        <v/>
      </c>
      <c r="N130" s="196" t="str">
        <f t="shared" si="65"/>
        <v/>
      </c>
      <c r="O130" s="250">
        <f t="shared" si="66"/>
        <v>4801856178219.4492</v>
      </c>
      <c r="P130" s="248">
        <f t="shared" si="72"/>
        <v>2.6217962535283409E-6</v>
      </c>
      <c r="Q130" s="250" t="str">
        <f t="shared" si="73"/>
        <v/>
      </c>
      <c r="R130" s="251" t="str">
        <f t="shared" si="75"/>
        <v/>
      </c>
      <c r="S130" s="252">
        <f>IF(AND(E130&gt;0.95*BiasLight,E130&lt;1.05*BiasLight),"",IF(AugerModel="Sinton",calclifetimeauger(Auger_Coefficient,I130,P130),calclifetimerichter(SampleType,I130,SampleDoping,P130)))</f>
        <v>381417.89185710973</v>
      </c>
      <c r="T130" s="201" t="str">
        <f t="shared" si="74"/>
        <v/>
      </c>
      <c r="U130" s="252">
        <f t="shared" si="67"/>
        <v>379739.75028443331</v>
      </c>
      <c r="V130" s="251" t="str">
        <f>IF(AugerModel="Sinton","",IF(SampleType="n-type",n_intr_boltzmann(SampleDoping,0,K130,Temperature+273.15),n_intr_boltzmann(0,SampleDoping,K130,Temperature+273.15)))</f>
        <v/>
      </c>
      <c r="W130" s="251" t="str">
        <f t="shared" si="51"/>
        <v/>
      </c>
      <c r="X130" s="246">
        <f>IF(AND(A130&gt;TimeofMaxCD,I130&gt;Traps),IF(AugerModel="Sinton",CalcImpliedV(SampleDoping,O130),CalcImpliedVRichter(O130,SampleDoping,V130)),"")</f>
        <v>0.50744988076148689</v>
      </c>
      <c r="Y130" s="253">
        <f t="shared" si="68"/>
        <v>0.24346368460976828</v>
      </c>
      <c r="Z130" s="200" t="str">
        <f t="shared" si="69"/>
        <v/>
      </c>
      <c r="AE130" s="251">
        <f t="shared" si="70"/>
        <v>1662.0069785711203</v>
      </c>
    </row>
    <row r="131" spans="1:31" x14ac:dyDescent="0.2">
      <c r="A131" s="244">
        <v>1.225E-2</v>
      </c>
      <c r="B131" s="244">
        <v>1.5610000000000001E-3</v>
      </c>
      <c r="C131" s="245">
        <v>2.1849999999999999E-3</v>
      </c>
      <c r="D131" s="246">
        <f>IF(CouplingMode="AC",B131-(A$11-A$10)*SUM(B$9:B131)/0.21,B131)</f>
        <v>1.5610000000000001E-3</v>
      </c>
      <c r="E131" s="247">
        <f t="shared" si="58"/>
        <v>0.23025018903296302</v>
      </c>
      <c r="F131" s="247">
        <f t="shared" si="59"/>
        <v>0.23025018903296302</v>
      </c>
      <c r="G131" s="248">
        <f t="shared" si="60"/>
        <v>6.0623926176094752E+16</v>
      </c>
      <c r="H131" s="249">
        <f t="shared" si="61"/>
        <v>4.5985170176617712E-5</v>
      </c>
      <c r="I131" s="248">
        <f>IF(MobilityModel=DK,CalcDeltaN(H131,SampleDoping,Thickness,AreaFrac),CalcDeltaNDL(H131,AreaFrac,Thickness,SampleType,SampleDoping,Temperature))</f>
        <v>4934634839308.0254</v>
      </c>
      <c r="J131" s="248" t="str">
        <f t="shared" si="62"/>
        <v/>
      </c>
      <c r="K131" s="248">
        <f t="shared" si="63"/>
        <v>4934634839308.0254</v>
      </c>
      <c r="L131" s="250">
        <f t="shared" si="71"/>
        <v>-4991748393501524</v>
      </c>
      <c r="M131" s="196" t="str">
        <f t="shared" si="64"/>
        <v/>
      </c>
      <c r="N131" s="196" t="str">
        <f t="shared" si="65"/>
        <v/>
      </c>
      <c r="O131" s="250">
        <f t="shared" si="66"/>
        <v>4934634839308.0254</v>
      </c>
      <c r="P131" s="248">
        <f t="shared" si="72"/>
        <v>2.8407251683140455E-6</v>
      </c>
      <c r="Q131" s="250" t="str">
        <f t="shared" si="73"/>
        <v/>
      </c>
      <c r="R131" s="251" t="str">
        <f t="shared" si="75"/>
        <v/>
      </c>
      <c r="S131" s="252">
        <f>IF(AND(E131&gt;0.95*BiasLight,E131&lt;1.05*BiasLight),"",IF(AugerModel="Sinton",calclifetimeauger(Auger_Coefficient,I131,P131),calclifetimerichter(SampleType,I131,SampleDoping,P131)))</f>
        <v>352022.79018025054</v>
      </c>
      <c r="T131" s="201" t="str">
        <f t="shared" si="74"/>
        <v/>
      </c>
      <c r="U131" s="252">
        <f t="shared" si="67"/>
        <v>379734.37501524168</v>
      </c>
      <c r="V131" s="251" t="str">
        <f>IF(AugerModel="Sinton","",IF(SampleType="n-type",n_intr_boltzmann(SampleDoping,0,K131,Temperature+273.15),n_intr_boltzmann(0,SampleDoping,K131,Temperature+273.15)))</f>
        <v/>
      </c>
      <c r="W131" s="251" t="str">
        <f t="shared" si="51"/>
        <v/>
      </c>
      <c r="X131" s="246">
        <f>IF(AND(A131&gt;TimeofMaxCD,I131&gt;Traps),IF(AugerModel="Sinton",CalcImpliedV(SampleDoping,O131),CalcImpliedVRichter(O131,SampleDoping,V131)),"")</f>
        <v>0.50815118866994691</v>
      </c>
      <c r="Y131" s="253">
        <f t="shared" si="68"/>
        <v>0.23091374363804507</v>
      </c>
      <c r="Z131" s="200" t="str">
        <f t="shared" si="69"/>
        <v/>
      </c>
      <c r="AE131" s="251">
        <f t="shared" si="70"/>
        <v>1662.0045994000702</v>
      </c>
    </row>
    <row r="132" spans="1:31" x14ac:dyDescent="0.2">
      <c r="A132" s="244">
        <v>1.235E-2</v>
      </c>
      <c r="B132" s="244">
        <v>1.3179999999999999E-3</v>
      </c>
      <c r="C132" s="245">
        <v>2.0730000000000002E-3</v>
      </c>
      <c r="D132" s="246">
        <f>IF(CouplingMode="AC",B132-(A$11-A$10)*SUM(B$9:B132)/0.21,B132)</f>
        <v>1.3179999999999999E-3</v>
      </c>
      <c r="E132" s="247">
        <f t="shared" si="58"/>
        <v>0.2184478910138821</v>
      </c>
      <c r="F132" s="247">
        <f t="shared" si="59"/>
        <v>0.2184478910138821</v>
      </c>
      <c r="G132" s="248">
        <f t="shared" si="60"/>
        <v>5.7516429731370464E+16</v>
      </c>
      <c r="H132" s="249">
        <f t="shared" si="61"/>
        <v>3.8826621532067618E-5</v>
      </c>
      <c r="I132" s="248">
        <f>IF(MobilityModel=DK,CalcDeltaN(H132,SampleDoping,Thickness,AreaFrac),CalcDeltaNDL(H132,AreaFrac,Thickness,SampleType,SampleDoping,Temperature))</f>
        <v>4166421733828.3188</v>
      </c>
      <c r="J132" s="248" t="str">
        <f t="shared" si="62"/>
        <v/>
      </c>
      <c r="K132" s="248">
        <f t="shared" si="63"/>
        <v>4166421733828.3188</v>
      </c>
      <c r="L132" s="250"/>
      <c r="M132" s="196" t="str">
        <f t="shared" si="64"/>
        <v/>
      </c>
      <c r="N132" s="196" t="str">
        <f t="shared" si="65"/>
        <v/>
      </c>
      <c r="O132" s="250">
        <f t="shared" si="66"/>
        <v>4166421733828.3188</v>
      </c>
      <c r="P132" s="248"/>
      <c r="Q132" s="250" t="str">
        <f t="shared" si="73"/>
        <v/>
      </c>
      <c r="R132" s="251" t="str">
        <f t="shared" si="75"/>
        <v/>
      </c>
      <c r="S132" s="201"/>
      <c r="T132" s="201" t="str">
        <f t="shared" si="74"/>
        <v/>
      </c>
      <c r="U132" s="252">
        <f t="shared" si="67"/>
        <v>379765.47453232243</v>
      </c>
      <c r="V132" s="251" t="str">
        <f>IF(AugerModel="Sinton","",IF(SampleType="n-type",n_intr_boltzmann(SampleDoping,0,K132,Temperature+273.15),n_intr_boltzmann(0,SampleDoping,K132,Temperature+273.15)))</f>
        <v/>
      </c>
      <c r="W132" s="251" t="str">
        <f t="shared" si="51"/>
        <v/>
      </c>
      <c r="X132" s="246">
        <f>IF(AND(A132&gt;TimeofMaxCD,I132&gt;Traps),IF(AugerModel="Sinton",CalcImpliedV(SampleDoping,O132),CalcImpliedVRichter(O132,SampleDoping,V132)),"")</f>
        <v>0.50380051856738084</v>
      </c>
      <c r="Y132" s="253" t="str">
        <f t="shared" si="68"/>
        <v/>
      </c>
      <c r="Z132" s="200" t="str">
        <f t="shared" si="69"/>
        <v/>
      </c>
      <c r="AE132" s="251">
        <f t="shared" si="70"/>
        <v>1662.0183647191138</v>
      </c>
    </row>
    <row r="133" spans="1:31" x14ac:dyDescent="0.2">
      <c r="A133" s="244">
        <v>1.2449999999999999E-2</v>
      </c>
      <c r="B133" s="244">
        <v>9.3999999999999997E-4</v>
      </c>
      <c r="C133" s="245">
        <v>1.186E-3</v>
      </c>
      <c r="D133" s="246">
        <f>IF(CouplingMode="AC",B133-(A$11-A$10)*SUM(B$9:B133)/0.21,B133)</f>
        <v>9.3999999999999997E-4</v>
      </c>
      <c r="E133" s="247">
        <f t="shared" si="58"/>
        <v>0.1249779058091964</v>
      </c>
      <c r="F133" s="247">
        <f t="shared" si="59"/>
        <v>0.1249779058091964</v>
      </c>
      <c r="G133" s="248">
        <f t="shared" si="60"/>
        <v>3.2906167709312768E+16</v>
      </c>
      <c r="H133" s="249">
        <f t="shared" si="61"/>
        <v>2.7691147469918048E-5</v>
      </c>
      <c r="I133" s="248">
        <f>IF(MobilityModel=DK,CalcDeltaN(H133,SampleDoping,Thickness,AreaFrac),CalcDeltaNDL(H133,AreaFrac,Thickness,SampleType,SampleDoping,Temperature))</f>
        <v>2971453803248.3032</v>
      </c>
      <c r="J133" s="248" t="str">
        <f t="shared" si="62"/>
        <v/>
      </c>
      <c r="K133" s="248">
        <f t="shared" si="63"/>
        <v>2971453803248.3032</v>
      </c>
      <c r="L133" s="250"/>
      <c r="M133" s="196" t="str">
        <f t="shared" si="64"/>
        <v/>
      </c>
      <c r="N133" s="196" t="str">
        <f t="shared" si="65"/>
        <v/>
      </c>
      <c r="O133" s="250">
        <f t="shared" si="66"/>
        <v>2971453803248.3032</v>
      </c>
      <c r="P133" s="248"/>
      <c r="Q133" s="250" t="str">
        <f t="shared" si="73"/>
        <v/>
      </c>
      <c r="R133" s="251" t="str">
        <f t="shared" si="75"/>
        <v/>
      </c>
      <c r="S133" s="201"/>
      <c r="T133" s="201" t="str">
        <f t="shared" si="74"/>
        <v/>
      </c>
      <c r="U133" s="252">
        <f t="shared" si="67"/>
        <v>379813.85033495177</v>
      </c>
      <c r="V133" s="251" t="str">
        <f>IF(AugerModel="Sinton","",IF(SampleType="n-type",n_intr_boltzmann(SampleDoping,0,K133,Temperature+273.15),n_intr_boltzmann(0,SampleDoping,K133,Temperature+273.15)))</f>
        <v/>
      </c>
      <c r="W133" s="251" t="str">
        <f t="shared" si="51"/>
        <v/>
      </c>
      <c r="X133" s="246">
        <f>IF(AND(A133&gt;TimeofMaxCD,I133&gt;Traps),IF(AugerModel="Sinton",CalcImpliedV(SampleDoping,O133),CalcImpliedVRichter(O133,SampleDoping,V133)),"")</f>
        <v>0.4951118798831799</v>
      </c>
      <c r="Y133" s="253" t="str">
        <f t="shared" si="68"/>
        <v/>
      </c>
      <c r="Z133" s="200" t="str">
        <f t="shared" si="69"/>
        <v/>
      </c>
      <c r="AE133" s="251">
        <f t="shared" si="70"/>
        <v>1662.0397779909044</v>
      </c>
    </row>
    <row r="134" spans="1:31" x14ac:dyDescent="0.2">
      <c r="A134" s="255" t="s">
        <v>57</v>
      </c>
      <c r="B134" s="256" t="b">
        <v>1</v>
      </c>
      <c r="C134" s="257"/>
      <c r="D134" s="201"/>
      <c r="E134" s="201"/>
      <c r="F134" s="201"/>
      <c r="G134" s="201"/>
      <c r="H134" s="201"/>
      <c r="I134" s="201"/>
      <c r="J134" s="201"/>
      <c r="K134" s="201"/>
      <c r="L134" s="201"/>
      <c r="M134" s="201"/>
      <c r="N134" s="200" t="str">
        <f t="shared" ref="N134" si="76">IF(M134="","",1/M134)</f>
        <v/>
      </c>
      <c r="O134" s="201"/>
      <c r="R134" s="201"/>
      <c r="S134" s="201"/>
      <c r="T134" s="201"/>
      <c r="U134" s="201"/>
      <c r="V134" s="251"/>
      <c r="W134" s="251" t="str">
        <f t="shared" si="51"/>
        <v/>
      </c>
      <c r="Z134" s="258"/>
      <c r="AE134" s="251"/>
    </row>
    <row r="135" spans="1:31" x14ac:dyDescent="0.2">
      <c r="A135" s="255"/>
      <c r="B135" s="259"/>
      <c r="C135" s="260"/>
      <c r="D135" s="201"/>
      <c r="E135" s="201"/>
      <c r="F135" s="201"/>
      <c r="G135" s="196"/>
      <c r="H135" s="196"/>
      <c r="I135" s="201"/>
      <c r="J135" s="201"/>
      <c r="K135" s="201"/>
      <c r="L135" s="201"/>
      <c r="M135" s="201"/>
      <c r="N135" s="201"/>
      <c r="O135" s="201"/>
      <c r="R135" s="201"/>
      <c r="S135" s="201"/>
      <c r="T135" s="201"/>
      <c r="U135" s="196"/>
      <c r="V135" s="201"/>
      <c r="W135" s="201"/>
      <c r="X135" s="201"/>
      <c r="Y135" s="201"/>
    </row>
    <row r="136" spans="1:31" x14ac:dyDescent="0.2">
      <c r="A136" s="255" t="s">
        <v>80</v>
      </c>
      <c r="B136" s="259" t="b">
        <v>0</v>
      </c>
      <c r="C136" s="261"/>
      <c r="D136" s="201"/>
      <c r="E136" s="201"/>
      <c r="F136" s="201"/>
      <c r="G136" s="201"/>
      <c r="H136" s="201"/>
      <c r="I136" s="201"/>
      <c r="J136" s="201"/>
      <c r="K136" s="201"/>
      <c r="L136" s="201"/>
      <c r="M136" s="201"/>
      <c r="N136" s="201"/>
      <c r="O136" s="201"/>
      <c r="R136" s="201"/>
      <c r="S136" s="201"/>
      <c r="T136" s="201"/>
      <c r="U136" s="196"/>
      <c r="V136" s="201"/>
      <c r="W136" s="201"/>
      <c r="X136" s="201"/>
      <c r="Y136" s="201"/>
    </row>
    <row r="137" spans="1:31" x14ac:dyDescent="0.2">
      <c r="A137" s="255"/>
      <c r="B137" s="259"/>
      <c r="C137" s="261"/>
      <c r="D137" s="201"/>
      <c r="E137" s="201"/>
      <c r="F137" s="201"/>
      <c r="G137" s="201"/>
      <c r="H137" s="201"/>
      <c r="I137" s="201"/>
      <c r="J137" s="201"/>
      <c r="K137" s="201"/>
      <c r="L137" s="201"/>
      <c r="M137" s="201"/>
      <c r="N137" s="201"/>
      <c r="O137" s="201"/>
      <c r="R137" s="201"/>
      <c r="S137" s="201"/>
      <c r="T137" s="201"/>
      <c r="U137" s="196"/>
      <c r="V137" s="201"/>
      <c r="W137" s="201"/>
      <c r="X137" s="201"/>
      <c r="Y137" s="201"/>
    </row>
    <row r="138" spans="1:31" x14ac:dyDescent="0.2">
      <c r="A138" s="255" t="s">
        <v>69</v>
      </c>
      <c r="B138" s="259">
        <v>0</v>
      </c>
      <c r="C138" s="261"/>
      <c r="D138" s="201"/>
      <c r="E138" s="201"/>
      <c r="F138" s="201"/>
      <c r="G138" s="201"/>
      <c r="H138" s="201"/>
      <c r="I138" s="201"/>
      <c r="J138" s="201"/>
      <c r="K138" s="201"/>
      <c r="L138" s="201"/>
      <c r="M138" s="201"/>
      <c r="N138" s="201"/>
      <c r="O138" s="201"/>
      <c r="R138" s="201"/>
      <c r="S138" s="201"/>
      <c r="T138" s="201"/>
      <c r="U138" s="196"/>
      <c r="V138" s="201"/>
      <c r="W138" s="201"/>
      <c r="X138" s="201"/>
      <c r="Y138" s="201"/>
    </row>
    <row r="139" spans="1:31" x14ac:dyDescent="0.2">
      <c r="A139" s="262"/>
      <c r="B139" s="259"/>
      <c r="C139" s="259"/>
      <c r="D139" s="263"/>
      <c r="E139" s="263"/>
      <c r="F139" s="263"/>
      <c r="G139" s="263"/>
      <c r="H139" s="263"/>
      <c r="I139" s="263"/>
      <c r="J139" s="263"/>
      <c r="K139" s="263"/>
      <c r="L139" s="263"/>
      <c r="M139" s="201"/>
      <c r="N139" s="263"/>
      <c r="O139" s="201"/>
      <c r="P139" s="263"/>
      <c r="Q139" s="263"/>
      <c r="R139" s="263"/>
      <c r="S139" s="263"/>
      <c r="T139" s="263"/>
      <c r="U139" s="263"/>
      <c r="V139" s="263" t="str">
        <f>IF(User!S6="","",User!S6)</f>
        <v/>
      </c>
      <c r="W139" s="201"/>
    </row>
    <row r="140" spans="1:31" x14ac:dyDescent="0.2">
      <c r="A140" s="255" t="s">
        <v>68</v>
      </c>
      <c r="B140" s="264">
        <v>0</v>
      </c>
      <c r="C140" s="265"/>
      <c r="D140" s="201"/>
      <c r="E140" s="201"/>
      <c r="F140" s="266"/>
      <c r="G140" s="266"/>
      <c r="H140" s="266"/>
      <c r="I140" s="266"/>
      <c r="J140" s="267"/>
      <c r="K140" s="266"/>
      <c r="L140" s="266"/>
      <c r="M140" s="201"/>
      <c r="N140" s="266"/>
      <c r="O140" s="201"/>
      <c r="P140" s="266"/>
      <c r="Q140" s="266"/>
      <c r="R140" s="266"/>
      <c r="S140" s="266"/>
      <c r="T140" s="201"/>
      <c r="U140" s="201"/>
      <c r="V140" s="201"/>
      <c r="W140" s="201"/>
    </row>
    <row r="141" spans="1:31" x14ac:dyDescent="0.2">
      <c r="A141" s="268"/>
      <c r="B141" s="259"/>
      <c r="C141" s="260"/>
      <c r="D141" s="269"/>
      <c r="E141" s="253"/>
      <c r="F141" s="269"/>
      <c r="G141" s="201"/>
      <c r="H141" s="201"/>
      <c r="I141" s="201"/>
      <c r="J141" s="270"/>
      <c r="K141" s="253"/>
      <c r="L141" s="270"/>
      <c r="N141" s="251"/>
      <c r="P141" s="201"/>
      <c r="Q141" s="253"/>
      <c r="R141" s="251"/>
    </row>
    <row r="142" spans="1:31" x14ac:dyDescent="0.2">
      <c r="A142" s="255" t="s">
        <v>67</v>
      </c>
      <c r="B142" s="259">
        <v>20</v>
      </c>
      <c r="C142" s="260"/>
      <c r="D142" s="201"/>
      <c r="E142" s="201"/>
      <c r="F142" s="201"/>
      <c r="G142" s="201"/>
      <c r="H142" s="201"/>
      <c r="I142" s="201"/>
      <c r="J142" s="201"/>
      <c r="K142" s="201"/>
      <c r="L142" s="201"/>
      <c r="P142" s="201"/>
      <c r="Q142" s="201"/>
    </row>
    <row r="143" spans="1:31" x14ac:dyDescent="0.2">
      <c r="A143" s="271"/>
      <c r="B143" s="272"/>
      <c r="C143" s="273"/>
    </row>
    <row r="144" spans="1:31" x14ac:dyDescent="0.2">
      <c r="A144" s="271" t="s">
        <v>66</v>
      </c>
      <c r="B144" s="272">
        <v>10</v>
      </c>
      <c r="C144" s="273"/>
    </row>
    <row r="145" spans="1:3" x14ac:dyDescent="0.2">
      <c r="A145" s="271"/>
      <c r="B145" s="272"/>
      <c r="C145" s="273"/>
    </row>
    <row r="146" spans="1:3" x14ac:dyDescent="0.2">
      <c r="A146" s="271" t="s">
        <v>73</v>
      </c>
      <c r="B146" s="272">
        <v>0</v>
      </c>
      <c r="C146" s="273"/>
    </row>
    <row r="147" spans="1:3" x14ac:dyDescent="0.2">
      <c r="A147" s="271"/>
      <c r="B147" s="272"/>
      <c r="C147" s="273"/>
    </row>
    <row r="148" spans="1:3" x14ac:dyDescent="0.2">
      <c r="A148" s="271" t="s">
        <v>72</v>
      </c>
      <c r="B148" s="272">
        <v>0</v>
      </c>
      <c r="C148" s="273"/>
    </row>
    <row r="149" spans="1:3" x14ac:dyDescent="0.2">
      <c r="A149" s="271"/>
      <c r="B149" s="272"/>
      <c r="C149" s="273"/>
    </row>
    <row r="150" spans="1:3" x14ac:dyDescent="0.2">
      <c r="A150" s="271" t="s">
        <v>71</v>
      </c>
      <c r="B150" s="274">
        <v>0.43029699999999999</v>
      </c>
      <c r="C150" s="273"/>
    </row>
    <row r="151" spans="1:3" x14ac:dyDescent="0.2">
      <c r="A151" s="271"/>
      <c r="B151" s="272"/>
      <c r="C151" s="273"/>
    </row>
    <row r="152" spans="1:3" x14ac:dyDescent="0.2">
      <c r="A152" s="271" t="s">
        <v>70</v>
      </c>
      <c r="B152" s="272">
        <v>0.56709799999999999</v>
      </c>
      <c r="C152" s="273"/>
    </row>
    <row r="153" spans="1:3" x14ac:dyDescent="0.2">
      <c r="A153" s="271"/>
      <c r="B153" s="272"/>
      <c r="C153" s="273"/>
    </row>
    <row r="154" spans="1:3" x14ac:dyDescent="0.2">
      <c r="A154" s="271" t="s">
        <v>63</v>
      </c>
      <c r="B154" s="272">
        <v>125</v>
      </c>
      <c r="C154" s="273"/>
    </row>
    <row r="155" spans="1:3" x14ac:dyDescent="0.2">
      <c r="A155" s="271"/>
      <c r="B155" s="272"/>
      <c r="C155" s="273"/>
    </row>
    <row r="156" spans="1:3" x14ac:dyDescent="0.2">
      <c r="A156" s="271" t="s">
        <v>61</v>
      </c>
      <c r="B156" s="272">
        <v>12500</v>
      </c>
      <c r="C156" s="273"/>
    </row>
    <row r="157" spans="1:3" x14ac:dyDescent="0.2">
      <c r="A157" s="271"/>
      <c r="B157" s="272"/>
      <c r="C157" s="273"/>
    </row>
    <row r="158" spans="1:3" x14ac:dyDescent="0.2">
      <c r="A158" s="271" t="s">
        <v>58</v>
      </c>
      <c r="B158" s="272">
        <v>0.2</v>
      </c>
      <c r="C158" s="273"/>
    </row>
    <row r="159" spans="1:3" x14ac:dyDescent="0.2">
      <c r="A159" s="271"/>
      <c r="B159" s="272"/>
      <c r="C159" s="273"/>
    </row>
    <row r="160" spans="1:3" x14ac:dyDescent="0.2">
      <c r="A160" s="271" t="s">
        <v>59</v>
      </c>
      <c r="B160" s="272">
        <v>0.02</v>
      </c>
      <c r="C160" s="273"/>
    </row>
    <row r="161" spans="1:3" x14ac:dyDescent="0.2">
      <c r="A161" s="271"/>
      <c r="B161" s="272"/>
      <c r="C161" s="273"/>
    </row>
    <row r="162" spans="1:3" x14ac:dyDescent="0.2">
      <c r="A162" s="271" t="s">
        <v>60</v>
      </c>
      <c r="B162" s="272">
        <v>1000</v>
      </c>
      <c r="C162" s="273"/>
    </row>
    <row r="163" spans="1:3" x14ac:dyDescent="0.2">
      <c r="A163" s="271"/>
      <c r="B163" s="272"/>
      <c r="C163" s="273"/>
    </row>
    <row r="164" spans="1:3" x14ac:dyDescent="0.2">
      <c r="A164" s="271" t="s">
        <v>62</v>
      </c>
      <c r="B164" s="272">
        <v>0.05</v>
      </c>
      <c r="C164" s="273"/>
    </row>
    <row r="165" spans="1:3" x14ac:dyDescent="0.2">
      <c r="A165" s="271"/>
      <c r="B165" s="272"/>
      <c r="C165" s="273"/>
    </row>
    <row r="166" spans="1:3" x14ac:dyDescent="0.2">
      <c r="A166" s="271" t="s">
        <v>64</v>
      </c>
      <c r="B166" s="272">
        <v>-0.21806200000000001</v>
      </c>
      <c r="C166" s="273"/>
    </row>
    <row r="167" spans="1:3" x14ac:dyDescent="0.2">
      <c r="A167" s="271"/>
      <c r="B167" s="272"/>
      <c r="C167" s="273"/>
    </row>
    <row r="168" spans="1:3" x14ac:dyDescent="0.2">
      <c r="A168" s="271" t="s">
        <v>76</v>
      </c>
      <c r="B168" s="272" t="b">
        <v>0</v>
      </c>
      <c r="C168" s="273"/>
    </row>
    <row r="169" spans="1:3" x14ac:dyDescent="0.2">
      <c r="A169" s="271"/>
      <c r="B169" s="272"/>
      <c r="C169" s="273"/>
    </row>
    <row r="170" spans="1:3" x14ac:dyDescent="0.2">
      <c r="A170" s="271" t="s">
        <v>74</v>
      </c>
      <c r="B170" s="272" t="b">
        <v>1</v>
      </c>
      <c r="C170" s="273"/>
    </row>
    <row r="171" spans="1:3" x14ac:dyDescent="0.2">
      <c r="A171" s="271"/>
      <c r="B171" s="272"/>
      <c r="C171" s="273"/>
    </row>
    <row r="172" spans="1:3" x14ac:dyDescent="0.2">
      <c r="A172" s="271" t="s">
        <v>75</v>
      </c>
      <c r="B172" s="272" t="b">
        <v>0</v>
      </c>
      <c r="C172" s="273"/>
    </row>
    <row r="173" spans="1:3" x14ac:dyDescent="0.2">
      <c r="A173" s="271"/>
      <c r="B173" s="272"/>
      <c r="C173" s="273"/>
    </row>
    <row r="174" spans="1:3" x14ac:dyDescent="0.2">
      <c r="A174" s="271" t="s">
        <v>79</v>
      </c>
      <c r="B174" s="272">
        <v>20000</v>
      </c>
      <c r="C174" s="273"/>
    </row>
    <row r="175" spans="1:3" x14ac:dyDescent="0.2">
      <c r="A175" s="271"/>
      <c r="B175" s="272"/>
      <c r="C175" s="273"/>
    </row>
    <row r="176" spans="1:3" x14ac:dyDescent="0.2">
      <c r="A176" s="271" t="s">
        <v>77</v>
      </c>
      <c r="B176" s="272">
        <v>6</v>
      </c>
      <c r="C176" s="273"/>
    </row>
    <row r="177" spans="1:3" x14ac:dyDescent="0.2">
      <c r="A177" s="271"/>
      <c r="B177" s="272"/>
      <c r="C177" s="273"/>
    </row>
    <row r="178" spans="1:3" x14ac:dyDescent="0.2">
      <c r="A178" s="271" t="s">
        <v>78</v>
      </c>
      <c r="B178" s="272">
        <v>1</v>
      </c>
      <c r="C178" s="273"/>
    </row>
    <row r="179" spans="1:3" x14ac:dyDescent="0.2">
      <c r="A179" s="271"/>
      <c r="B179" s="272"/>
      <c r="C179" s="273"/>
    </row>
    <row r="180" spans="1:3" x14ac:dyDescent="0.2">
      <c r="A180" s="271" t="s">
        <v>81</v>
      </c>
      <c r="B180" s="272">
        <v>20</v>
      </c>
      <c r="C180" s="273"/>
    </row>
    <row r="181" spans="1:3" x14ac:dyDescent="0.2">
      <c r="A181" s="271"/>
      <c r="B181" s="272"/>
      <c r="C181" s="273"/>
    </row>
    <row r="182" spans="1:3" x14ac:dyDescent="0.2">
      <c r="A182" s="271" t="s">
        <v>83</v>
      </c>
      <c r="B182" s="272">
        <v>1</v>
      </c>
      <c r="C182" s="273"/>
    </row>
    <row r="183" spans="1:3" x14ac:dyDescent="0.2">
      <c r="A183" s="271"/>
      <c r="B183" s="272"/>
      <c r="C183" s="273"/>
    </row>
    <row r="184" spans="1:3" x14ac:dyDescent="0.2">
      <c r="A184" s="271" t="s">
        <v>84</v>
      </c>
      <c r="B184" s="272" t="b">
        <v>0</v>
      </c>
      <c r="C184" s="273"/>
    </row>
    <row r="185" spans="1:3" x14ac:dyDescent="0.2">
      <c r="A185" s="271"/>
      <c r="B185" s="272"/>
      <c r="C185" s="273"/>
    </row>
    <row r="186" spans="1:3" x14ac:dyDescent="0.2">
      <c r="A186" s="271" t="s">
        <v>351</v>
      </c>
      <c r="B186" s="272">
        <v>0</v>
      </c>
      <c r="C186" s="273"/>
    </row>
    <row r="187" spans="1:3" x14ac:dyDescent="0.2">
      <c r="A187" s="271"/>
      <c r="B187" s="272"/>
      <c r="C187" s="273"/>
    </row>
    <row r="188" spans="1:3" x14ac:dyDescent="0.2">
      <c r="A188" s="271" t="s">
        <v>352</v>
      </c>
      <c r="B188" s="272">
        <v>-1</v>
      </c>
      <c r="C188" s="273"/>
    </row>
    <row r="189" spans="1:3" x14ac:dyDescent="0.2">
      <c r="A189" s="271"/>
      <c r="B189" s="272"/>
      <c r="C189" s="273"/>
    </row>
    <row r="190" spans="1:3" x14ac:dyDescent="0.2">
      <c r="A190" s="271"/>
      <c r="B190" s="272"/>
      <c r="C190" s="273"/>
    </row>
    <row r="191" spans="1:3" x14ac:dyDescent="0.2">
      <c r="A191" s="271" t="s">
        <v>98</v>
      </c>
      <c r="B191" s="272">
        <v>1</v>
      </c>
      <c r="C191" s="273"/>
    </row>
    <row r="192" spans="1:3" x14ac:dyDescent="0.2">
      <c r="A192" s="271"/>
      <c r="B192" s="272"/>
      <c r="C192" s="273"/>
    </row>
    <row r="193" spans="1:19" x14ac:dyDescent="0.2">
      <c r="A193" s="271" t="s">
        <v>99</v>
      </c>
      <c r="B193" s="272">
        <v>1</v>
      </c>
      <c r="C193" s="273"/>
    </row>
    <row r="194" spans="1:19" x14ac:dyDescent="0.2">
      <c r="A194" s="271"/>
      <c r="B194" s="272"/>
      <c r="C194" s="273"/>
    </row>
    <row r="195" spans="1:19" x14ac:dyDescent="0.2">
      <c r="A195" s="271" t="s">
        <v>100</v>
      </c>
      <c r="B195" s="272">
        <v>1</v>
      </c>
      <c r="C195" s="273"/>
    </row>
    <row r="196" spans="1:19" x14ac:dyDescent="0.2">
      <c r="A196" s="271"/>
      <c r="B196" s="272"/>
      <c r="C196" s="273"/>
    </row>
    <row r="197" spans="1:19" x14ac:dyDescent="0.2">
      <c r="A197" s="271" t="s">
        <v>101</v>
      </c>
      <c r="B197" s="272">
        <v>1</v>
      </c>
      <c r="C197" s="273"/>
    </row>
    <row r="198" spans="1:19" x14ac:dyDescent="0.2">
      <c r="A198" s="271"/>
      <c r="B198" s="272"/>
      <c r="C198" s="273"/>
    </row>
    <row r="199" spans="1:19" x14ac:dyDescent="0.2">
      <c r="A199" s="271" t="s">
        <v>102</v>
      </c>
      <c r="B199" s="272">
        <v>1</v>
      </c>
      <c r="C199" s="273"/>
    </row>
    <row r="200" spans="1:19" x14ac:dyDescent="0.2">
      <c r="A200" s="271"/>
      <c r="B200" s="272"/>
      <c r="C200" s="272"/>
      <c r="D200" s="258"/>
      <c r="E200" s="258"/>
      <c r="F200" s="258"/>
      <c r="G200" s="258"/>
      <c r="H200" s="258"/>
      <c r="I200" s="258"/>
      <c r="J200" s="258"/>
      <c r="K200" s="258"/>
      <c r="L200" s="258"/>
      <c r="N200" s="258"/>
      <c r="P200" s="258"/>
      <c r="Q200" s="258"/>
      <c r="R200" s="258"/>
      <c r="S200" s="258"/>
    </row>
    <row r="201" spans="1:19" x14ac:dyDescent="0.2">
      <c r="A201" s="271" t="s">
        <v>103</v>
      </c>
      <c r="B201" s="272">
        <v>1</v>
      </c>
      <c r="C201" s="273"/>
    </row>
    <row r="202" spans="1:19" x14ac:dyDescent="0.2">
      <c r="A202" s="271"/>
      <c r="B202" s="272"/>
      <c r="C202" s="273"/>
    </row>
    <row r="203" spans="1:19" x14ac:dyDescent="0.2">
      <c r="A203" s="271" t="s">
        <v>104</v>
      </c>
      <c r="B203" s="272">
        <v>1</v>
      </c>
      <c r="C203" s="273"/>
    </row>
    <row r="204" spans="1:19" x14ac:dyDescent="0.2">
      <c r="A204" s="271"/>
      <c r="B204" s="272"/>
      <c r="C204" s="273"/>
    </row>
    <row r="205" spans="1:19" x14ac:dyDescent="0.2">
      <c r="A205" s="271" t="s">
        <v>105</v>
      </c>
      <c r="B205" s="272" t="s">
        <v>128</v>
      </c>
      <c r="C205" s="273"/>
    </row>
    <row r="206" spans="1:19" x14ac:dyDescent="0.2">
      <c r="A206" s="271"/>
      <c r="B206" s="272"/>
      <c r="C206" s="273"/>
    </row>
    <row r="207" spans="1:19" x14ac:dyDescent="0.2">
      <c r="A207" s="271" t="s">
        <v>106</v>
      </c>
      <c r="B207" s="272">
        <v>1</v>
      </c>
      <c r="C207" s="273"/>
    </row>
    <row r="208" spans="1:19" x14ac:dyDescent="0.2">
      <c r="A208" s="271"/>
      <c r="B208" s="272"/>
      <c r="C208" s="273"/>
    </row>
    <row r="209" spans="1:3" x14ac:dyDescent="0.2">
      <c r="A209" s="271" t="s">
        <v>107</v>
      </c>
      <c r="B209" s="272">
        <v>1</v>
      </c>
      <c r="C209" s="273"/>
    </row>
    <row r="210" spans="1:3" x14ac:dyDescent="0.2">
      <c r="A210" s="271"/>
      <c r="B210" s="272"/>
      <c r="C210" s="273"/>
    </row>
    <row r="211" spans="1:3" x14ac:dyDescent="0.2">
      <c r="A211" s="271" t="s">
        <v>90</v>
      </c>
      <c r="B211" s="272">
        <v>1</v>
      </c>
      <c r="C211" s="273"/>
    </row>
    <row r="212" spans="1:3" x14ac:dyDescent="0.2">
      <c r="A212" s="271"/>
      <c r="B212" s="272"/>
      <c r="C212" s="273"/>
    </row>
    <row r="213" spans="1:3" x14ac:dyDescent="0.2">
      <c r="A213" s="271" t="s">
        <v>91</v>
      </c>
      <c r="B213" s="272">
        <v>1</v>
      </c>
      <c r="C213" s="273"/>
    </row>
    <row r="214" spans="1:3" x14ac:dyDescent="0.2">
      <c r="A214" s="271"/>
      <c r="B214" s="272"/>
      <c r="C214" s="273"/>
    </row>
    <row r="215" spans="1:3" x14ac:dyDescent="0.2">
      <c r="A215" s="271" t="s">
        <v>92</v>
      </c>
      <c r="B215" s="272">
        <v>1</v>
      </c>
      <c r="C215" s="273"/>
    </row>
    <row r="216" spans="1:3" x14ac:dyDescent="0.2">
      <c r="A216" s="271"/>
      <c r="B216" s="272"/>
      <c r="C216" s="273"/>
    </row>
    <row r="217" spans="1:3" x14ac:dyDescent="0.2">
      <c r="A217" s="271" t="s">
        <v>93</v>
      </c>
      <c r="B217" s="272">
        <v>1</v>
      </c>
      <c r="C217" s="273"/>
    </row>
    <row r="218" spans="1:3" x14ac:dyDescent="0.2">
      <c r="A218" s="271"/>
      <c r="B218" s="272"/>
      <c r="C218" s="273"/>
    </row>
    <row r="219" spans="1:3" x14ac:dyDescent="0.2">
      <c r="A219" s="271" t="s">
        <v>94</v>
      </c>
      <c r="B219" s="272">
        <v>1</v>
      </c>
      <c r="C219" s="273"/>
    </row>
    <row r="220" spans="1:3" x14ac:dyDescent="0.2">
      <c r="A220" s="271"/>
      <c r="B220" s="272"/>
      <c r="C220" s="273"/>
    </row>
    <row r="221" spans="1:3" x14ac:dyDescent="0.2">
      <c r="A221" s="271" t="s">
        <v>97</v>
      </c>
      <c r="B221" s="272">
        <v>1</v>
      </c>
      <c r="C221" s="273"/>
    </row>
    <row r="222" spans="1:3" x14ac:dyDescent="0.2">
      <c r="A222" s="271"/>
      <c r="B222" s="272"/>
      <c r="C222" s="273"/>
    </row>
    <row r="223" spans="1:3" x14ac:dyDescent="0.2">
      <c r="A223" s="271" t="s">
        <v>95</v>
      </c>
      <c r="B223" s="272">
        <v>1</v>
      </c>
      <c r="C223" s="273"/>
    </row>
    <row r="224" spans="1:3" x14ac:dyDescent="0.2">
      <c r="A224" s="271"/>
      <c r="B224" s="272"/>
      <c r="C224" s="273"/>
    </row>
    <row r="225" spans="1:3" x14ac:dyDescent="0.2">
      <c r="A225" s="271" t="s">
        <v>96</v>
      </c>
      <c r="B225" s="272">
        <v>1</v>
      </c>
      <c r="C225" s="273"/>
    </row>
    <row r="226" spans="1:3" x14ac:dyDescent="0.2">
      <c r="A226" s="271"/>
      <c r="B226" s="272"/>
      <c r="C226" s="273"/>
    </row>
    <row r="227" spans="1:3" x14ac:dyDescent="0.2">
      <c r="A227" s="271" t="s">
        <v>108</v>
      </c>
      <c r="B227" s="272">
        <v>1</v>
      </c>
      <c r="C227" s="273"/>
    </row>
    <row r="228" spans="1:3" x14ac:dyDescent="0.2">
      <c r="A228" s="271"/>
      <c r="B228" s="272"/>
      <c r="C228" s="273"/>
    </row>
    <row r="229" spans="1:3" x14ac:dyDescent="0.2">
      <c r="A229" s="271" t="s">
        <v>109</v>
      </c>
      <c r="B229" s="272">
        <v>1</v>
      </c>
      <c r="C229" s="273"/>
    </row>
    <row r="230" spans="1:3" x14ac:dyDescent="0.2">
      <c r="A230" s="271"/>
      <c r="B230" s="272"/>
      <c r="C230" s="273"/>
    </row>
    <row r="231" spans="1:3" x14ac:dyDescent="0.2">
      <c r="A231" s="271" t="s">
        <v>145</v>
      </c>
      <c r="B231" s="272">
        <v>1</v>
      </c>
      <c r="C231" s="273"/>
    </row>
    <row r="232" spans="1:3" x14ac:dyDescent="0.2">
      <c r="A232" s="271"/>
      <c r="B232" s="272"/>
      <c r="C232" s="273"/>
    </row>
    <row r="233" spans="1:3" x14ac:dyDescent="0.2">
      <c r="A233" s="271" t="s">
        <v>146</v>
      </c>
      <c r="B233" s="272">
        <v>1</v>
      </c>
      <c r="C233" s="273"/>
    </row>
    <row r="234" spans="1:3" x14ac:dyDescent="0.2">
      <c r="A234" s="271"/>
      <c r="B234" s="272"/>
      <c r="C234" s="273"/>
    </row>
    <row r="235" spans="1:3" x14ac:dyDescent="0.2">
      <c r="A235" s="271" t="s">
        <v>130</v>
      </c>
      <c r="B235" s="272">
        <v>1</v>
      </c>
      <c r="C235" s="273"/>
    </row>
    <row r="236" spans="1:3" x14ac:dyDescent="0.2">
      <c r="A236" s="271"/>
      <c r="B236" s="272"/>
      <c r="C236" s="273"/>
    </row>
    <row r="237" spans="1:3" x14ac:dyDescent="0.2">
      <c r="A237" s="271" t="s">
        <v>129</v>
      </c>
      <c r="B237" s="272">
        <v>1</v>
      </c>
      <c r="C237" s="273"/>
    </row>
    <row r="238" spans="1:3" x14ac:dyDescent="0.2">
      <c r="A238" s="271"/>
      <c r="B238" s="272"/>
      <c r="C238" s="273"/>
    </row>
    <row r="239" spans="1:3" x14ac:dyDescent="0.2">
      <c r="A239" s="271" t="s">
        <v>131</v>
      </c>
      <c r="B239" s="272">
        <v>1</v>
      </c>
      <c r="C239" s="273"/>
    </row>
    <row r="240" spans="1:3" x14ac:dyDescent="0.2">
      <c r="A240" s="271"/>
      <c r="B240" s="272"/>
      <c r="C240" s="273"/>
    </row>
    <row r="241" spans="1:3" x14ac:dyDescent="0.2">
      <c r="A241" s="271" t="s">
        <v>132</v>
      </c>
      <c r="B241" s="272">
        <v>1</v>
      </c>
      <c r="C241" s="273"/>
    </row>
    <row r="242" spans="1:3" x14ac:dyDescent="0.2">
      <c r="A242" s="271"/>
      <c r="B242" s="272"/>
      <c r="C242" s="273"/>
    </row>
    <row r="243" spans="1:3" x14ac:dyDescent="0.2">
      <c r="A243" s="271" t="s">
        <v>133</v>
      </c>
      <c r="B243" s="272">
        <v>1</v>
      </c>
      <c r="C243" s="273"/>
    </row>
    <row r="244" spans="1:3" x14ac:dyDescent="0.2">
      <c r="A244" s="271"/>
      <c r="B244" s="272"/>
      <c r="C244" s="273"/>
    </row>
    <row r="245" spans="1:3" x14ac:dyDescent="0.2">
      <c r="A245" s="271" t="s">
        <v>134</v>
      </c>
      <c r="B245" s="272">
        <v>1</v>
      </c>
      <c r="C245" s="273"/>
    </row>
    <row r="246" spans="1:3" x14ac:dyDescent="0.2">
      <c r="A246" s="271"/>
      <c r="B246" s="272"/>
      <c r="C246" s="273"/>
    </row>
    <row r="247" spans="1:3" x14ac:dyDescent="0.2">
      <c r="A247" s="271" t="s">
        <v>135</v>
      </c>
      <c r="B247" s="272">
        <v>1</v>
      </c>
      <c r="C247" s="273"/>
    </row>
    <row r="248" spans="1:3" x14ac:dyDescent="0.2">
      <c r="A248" s="271"/>
      <c r="B248" s="272"/>
      <c r="C248" s="273"/>
    </row>
    <row r="249" spans="1:3" x14ac:dyDescent="0.2">
      <c r="A249" s="271" t="s">
        <v>136</v>
      </c>
      <c r="B249" s="272">
        <v>1</v>
      </c>
      <c r="C249" s="273"/>
    </row>
    <row r="250" spans="1:3" x14ac:dyDescent="0.2">
      <c r="A250" s="271"/>
      <c r="B250" s="272"/>
      <c r="C250" s="273"/>
    </row>
    <row r="251" spans="1:3" x14ac:dyDescent="0.2">
      <c r="A251" s="271" t="s">
        <v>137</v>
      </c>
      <c r="B251" s="272">
        <v>1</v>
      </c>
      <c r="C251" s="273"/>
    </row>
    <row r="252" spans="1:3" x14ac:dyDescent="0.2">
      <c r="A252" s="271"/>
      <c r="B252" s="272"/>
      <c r="C252" s="273"/>
    </row>
    <row r="253" spans="1:3" x14ac:dyDescent="0.2">
      <c r="A253" s="271" t="s">
        <v>138</v>
      </c>
      <c r="B253" s="272">
        <v>1</v>
      </c>
      <c r="C253" s="273"/>
    </row>
    <row r="254" spans="1:3" x14ac:dyDescent="0.2">
      <c r="A254" s="271"/>
      <c r="B254" s="272"/>
      <c r="C254" s="273"/>
    </row>
    <row r="255" spans="1:3" x14ac:dyDescent="0.2">
      <c r="A255" s="271" t="s">
        <v>139</v>
      </c>
      <c r="B255" s="272">
        <v>1</v>
      </c>
      <c r="C255" s="273"/>
    </row>
    <row r="256" spans="1:3" x14ac:dyDescent="0.2">
      <c r="A256" s="271"/>
      <c r="B256" s="272"/>
      <c r="C256" s="273"/>
    </row>
    <row r="257" spans="1:3" x14ac:dyDescent="0.2">
      <c r="A257" s="271" t="s">
        <v>140</v>
      </c>
      <c r="B257" s="272">
        <v>1</v>
      </c>
      <c r="C257" s="273"/>
    </row>
    <row r="258" spans="1:3" x14ac:dyDescent="0.2">
      <c r="A258" s="271"/>
      <c r="B258" s="272"/>
      <c r="C258" s="273"/>
    </row>
    <row r="259" spans="1:3" x14ac:dyDescent="0.2">
      <c r="A259" s="271" t="s">
        <v>141</v>
      </c>
      <c r="B259" s="272">
        <v>1</v>
      </c>
      <c r="C259" s="273"/>
    </row>
    <row r="260" spans="1:3" x14ac:dyDescent="0.2">
      <c r="A260" s="271"/>
      <c r="B260" s="272"/>
      <c r="C260" s="273"/>
    </row>
    <row r="261" spans="1:3" x14ac:dyDescent="0.2">
      <c r="A261" s="271" t="s">
        <v>142</v>
      </c>
      <c r="B261" s="272">
        <v>1</v>
      </c>
      <c r="C261" s="273"/>
    </row>
    <row r="262" spans="1:3" x14ac:dyDescent="0.2">
      <c r="A262" s="271"/>
      <c r="B262" s="272"/>
      <c r="C262" s="273"/>
    </row>
    <row r="263" spans="1:3" x14ac:dyDescent="0.2">
      <c r="A263" s="271" t="s">
        <v>143</v>
      </c>
      <c r="B263" s="272">
        <v>1</v>
      </c>
      <c r="C263" s="273"/>
    </row>
    <row r="264" spans="1:3" x14ac:dyDescent="0.2">
      <c r="A264" s="271"/>
      <c r="B264" s="272"/>
      <c r="C264" s="273"/>
    </row>
    <row r="265" spans="1:3" x14ac:dyDescent="0.2">
      <c r="A265" s="271" t="s">
        <v>144</v>
      </c>
      <c r="B265" s="272">
        <v>1</v>
      </c>
      <c r="C265" s="273"/>
    </row>
    <row r="266" spans="1:3" x14ac:dyDescent="0.2">
      <c r="A266" s="271"/>
      <c r="B266" s="272"/>
      <c r="C266" s="273"/>
    </row>
    <row r="267" spans="1:3" x14ac:dyDescent="0.2">
      <c r="A267" s="271" t="s">
        <v>110</v>
      </c>
      <c r="B267" s="272"/>
      <c r="C267" s="273"/>
    </row>
    <row r="268" spans="1:3" x14ac:dyDescent="0.2">
      <c r="A268" s="271" t="s">
        <v>111</v>
      </c>
      <c r="B268" s="272" t="s">
        <v>128</v>
      </c>
      <c r="C268" s="273"/>
    </row>
    <row r="269" spans="1:3" x14ac:dyDescent="0.2">
      <c r="A269" s="271"/>
      <c r="B269" s="272"/>
      <c r="C269" s="273"/>
    </row>
    <row r="270" spans="1:3" x14ac:dyDescent="0.2">
      <c r="A270" s="271" t="s">
        <v>112</v>
      </c>
      <c r="B270" s="272" t="s">
        <v>147</v>
      </c>
      <c r="C270" s="273"/>
    </row>
    <row r="271" spans="1:3" x14ac:dyDescent="0.2">
      <c r="A271" s="271"/>
      <c r="B271" s="272"/>
      <c r="C271" s="273"/>
    </row>
    <row r="272" spans="1:3" x14ac:dyDescent="0.2">
      <c r="A272" s="271" t="s">
        <v>113</v>
      </c>
      <c r="B272" s="272" t="s">
        <v>147</v>
      </c>
      <c r="C272" s="273"/>
    </row>
    <row r="273" spans="1:3" x14ac:dyDescent="0.2">
      <c r="A273" s="271"/>
      <c r="B273" s="272"/>
      <c r="C273" s="273"/>
    </row>
    <row r="274" spans="1:3" x14ac:dyDescent="0.2">
      <c r="A274" s="271" t="s">
        <v>114</v>
      </c>
      <c r="B274" s="272" t="s">
        <v>128</v>
      </c>
      <c r="C274" s="273"/>
    </row>
    <row r="275" spans="1:3" x14ac:dyDescent="0.2">
      <c r="A275" s="271"/>
      <c r="B275" s="272"/>
      <c r="C275" s="273"/>
    </row>
    <row r="276" spans="1:3" x14ac:dyDescent="0.2">
      <c r="A276" s="271" t="s">
        <v>115</v>
      </c>
      <c r="B276" s="272" t="s">
        <v>147</v>
      </c>
      <c r="C276" s="273"/>
    </row>
    <row r="277" spans="1:3" x14ac:dyDescent="0.2">
      <c r="A277" s="271"/>
      <c r="B277" s="272"/>
      <c r="C277" s="273"/>
    </row>
    <row r="278" spans="1:3" x14ac:dyDescent="0.2">
      <c r="A278" s="271" t="s">
        <v>116</v>
      </c>
      <c r="B278" s="272" t="s">
        <v>128</v>
      </c>
      <c r="C278" s="273"/>
    </row>
    <row r="279" spans="1:3" x14ac:dyDescent="0.2">
      <c r="A279" s="271"/>
      <c r="B279" s="272"/>
      <c r="C279" s="273"/>
    </row>
    <row r="280" spans="1:3" x14ac:dyDescent="0.2">
      <c r="A280" s="271" t="s">
        <v>117</v>
      </c>
      <c r="B280" s="272" t="s">
        <v>147</v>
      </c>
      <c r="C280" s="273"/>
    </row>
    <row r="281" spans="1:3" x14ac:dyDescent="0.2">
      <c r="A281" s="271"/>
      <c r="B281" s="272"/>
      <c r="C281" s="273"/>
    </row>
    <row r="282" spans="1:3" x14ac:dyDescent="0.2">
      <c r="A282" s="271" t="s">
        <v>118</v>
      </c>
      <c r="B282" s="272">
        <v>1</v>
      </c>
      <c r="C282" s="273"/>
    </row>
    <row r="283" spans="1:3" x14ac:dyDescent="0.2">
      <c r="A283" s="271"/>
      <c r="B283" s="272"/>
      <c r="C283" s="273"/>
    </row>
    <row r="284" spans="1:3" x14ac:dyDescent="0.2">
      <c r="A284" s="271" t="s">
        <v>119</v>
      </c>
      <c r="B284" s="272">
        <v>1</v>
      </c>
      <c r="C284" s="273"/>
    </row>
    <row r="285" spans="1:3" x14ac:dyDescent="0.2">
      <c r="A285" s="271"/>
      <c r="B285" s="272"/>
      <c r="C285" s="273"/>
    </row>
    <row r="286" spans="1:3" x14ac:dyDescent="0.2">
      <c r="A286" s="271" t="s">
        <v>120</v>
      </c>
      <c r="B286" s="272">
        <v>1</v>
      </c>
      <c r="C286" s="273"/>
    </row>
    <row r="287" spans="1:3" x14ac:dyDescent="0.2">
      <c r="A287" s="271"/>
      <c r="B287" s="272"/>
      <c r="C287" s="273"/>
    </row>
    <row r="288" spans="1:3" x14ac:dyDescent="0.2">
      <c r="A288" s="271" t="s">
        <v>121</v>
      </c>
      <c r="B288" s="272" t="s">
        <v>147</v>
      </c>
      <c r="C288" s="273"/>
    </row>
    <row r="289" spans="1:3" x14ac:dyDescent="0.2">
      <c r="A289" s="271"/>
      <c r="B289" s="272"/>
      <c r="C289" s="273"/>
    </row>
    <row r="290" spans="1:3" x14ac:dyDescent="0.2">
      <c r="A290" s="271" t="s">
        <v>122</v>
      </c>
      <c r="B290" s="272" t="s">
        <v>147</v>
      </c>
      <c r="C290" s="273"/>
    </row>
    <row r="291" spans="1:3" x14ac:dyDescent="0.2">
      <c r="A291" s="271"/>
      <c r="B291" s="272"/>
      <c r="C291" s="273"/>
    </row>
    <row r="292" spans="1:3" x14ac:dyDescent="0.2">
      <c r="A292" s="271" t="s">
        <v>123</v>
      </c>
      <c r="B292" s="272">
        <v>1</v>
      </c>
      <c r="C292" s="273"/>
    </row>
    <row r="293" spans="1:3" x14ac:dyDescent="0.2">
      <c r="A293" s="271"/>
      <c r="B293" s="272"/>
      <c r="C293" s="273"/>
    </row>
    <row r="294" spans="1:3" x14ac:dyDescent="0.2">
      <c r="A294" s="271" t="s">
        <v>124</v>
      </c>
      <c r="B294" s="272">
        <v>1</v>
      </c>
      <c r="C294" s="273"/>
    </row>
    <row r="295" spans="1:3" x14ac:dyDescent="0.2">
      <c r="A295" s="271"/>
      <c r="B295" s="272"/>
      <c r="C295" s="273"/>
    </row>
    <row r="296" spans="1:3" x14ac:dyDescent="0.2">
      <c r="A296" s="271" t="s">
        <v>125</v>
      </c>
      <c r="B296" s="272" t="s">
        <v>147</v>
      </c>
      <c r="C296" s="273"/>
    </row>
    <row r="297" spans="1:3" x14ac:dyDescent="0.2">
      <c r="A297" s="271"/>
      <c r="B297" s="272"/>
      <c r="C297" s="273"/>
    </row>
    <row r="298" spans="1:3" x14ac:dyDescent="0.2">
      <c r="A298" s="271" t="s">
        <v>148</v>
      </c>
      <c r="B298" s="272" t="s">
        <v>147</v>
      </c>
      <c r="C298" s="273"/>
    </row>
    <row r="299" spans="1:3" x14ac:dyDescent="0.2">
      <c r="A299" s="271"/>
      <c r="B299" s="272"/>
      <c r="C299" s="273"/>
    </row>
    <row r="300" spans="1:3" x14ac:dyDescent="0.2">
      <c r="A300" s="271" t="s">
        <v>126</v>
      </c>
      <c r="B300" s="272"/>
      <c r="C300" s="273"/>
    </row>
    <row r="301" spans="1:3" x14ac:dyDescent="0.2">
      <c r="A301" s="271" t="s">
        <v>85</v>
      </c>
      <c r="B301" s="272">
        <v>1</v>
      </c>
      <c r="C301" s="273"/>
    </row>
    <row r="302" spans="1:3" x14ac:dyDescent="0.2">
      <c r="A302" s="271"/>
      <c r="B302" s="272"/>
      <c r="C302" s="273"/>
    </row>
    <row r="303" spans="1:3" x14ac:dyDescent="0.2">
      <c r="A303" s="271" t="s">
        <v>86</v>
      </c>
      <c r="B303" s="272">
        <v>1</v>
      </c>
      <c r="C303" s="273"/>
    </row>
    <row r="304" spans="1:3" x14ac:dyDescent="0.2">
      <c r="A304" s="271"/>
      <c r="B304" s="272"/>
      <c r="C304" s="273"/>
    </row>
    <row r="305" spans="1:3" x14ac:dyDescent="0.2">
      <c r="A305" s="271" t="s">
        <v>87</v>
      </c>
      <c r="B305" s="272">
        <v>1</v>
      </c>
      <c r="C305" s="273"/>
    </row>
    <row r="306" spans="1:3" x14ac:dyDescent="0.2">
      <c r="A306" s="271"/>
      <c r="B306" s="272"/>
      <c r="C306" s="273"/>
    </row>
    <row r="307" spans="1:3" x14ac:dyDescent="0.2">
      <c r="A307" s="271" t="s">
        <v>88</v>
      </c>
      <c r="B307" s="272">
        <v>1</v>
      </c>
      <c r="C307" s="273"/>
    </row>
    <row r="308" spans="1:3" x14ac:dyDescent="0.2">
      <c r="A308" s="271"/>
      <c r="B308" s="272"/>
      <c r="C308" s="273"/>
    </row>
    <row r="309" spans="1:3" x14ac:dyDescent="0.2">
      <c r="A309" s="271" t="s">
        <v>89</v>
      </c>
      <c r="B309" s="272">
        <v>1</v>
      </c>
      <c r="C309" s="273"/>
    </row>
    <row r="310" spans="1:3" x14ac:dyDescent="0.2">
      <c r="A310" s="271"/>
      <c r="B310" s="272"/>
      <c r="C310" s="273"/>
    </row>
    <row r="311" spans="1:3" x14ac:dyDescent="0.2">
      <c r="A311" s="271" t="s">
        <v>149</v>
      </c>
      <c r="B311" s="272">
        <v>1</v>
      </c>
      <c r="C311" s="273"/>
    </row>
    <row r="312" spans="1:3" x14ac:dyDescent="0.2">
      <c r="A312" s="271"/>
      <c r="B312" s="272"/>
      <c r="C312" s="273"/>
    </row>
    <row r="313" spans="1:3" x14ac:dyDescent="0.2">
      <c r="A313" s="271" t="s">
        <v>150</v>
      </c>
      <c r="B313" s="272">
        <v>1</v>
      </c>
      <c r="C313" s="273"/>
    </row>
    <row r="314" spans="1:3" x14ac:dyDescent="0.2">
      <c r="A314" s="271"/>
      <c r="B314" s="272"/>
      <c r="C314" s="273"/>
    </row>
    <row r="315" spans="1:3" x14ac:dyDescent="0.2">
      <c r="A315" s="271" t="s">
        <v>247</v>
      </c>
      <c r="B315" s="272">
        <v>1</v>
      </c>
      <c r="C315" s="273"/>
    </row>
    <row r="316" spans="1:3" x14ac:dyDescent="0.2">
      <c r="A316" s="271"/>
      <c r="B316" s="272"/>
      <c r="C316" s="273"/>
    </row>
    <row r="317" spans="1:3" x14ac:dyDescent="0.2">
      <c r="A317" s="271"/>
      <c r="B317" s="272"/>
      <c r="C317" s="273"/>
    </row>
    <row r="318" spans="1:3" x14ac:dyDescent="0.2">
      <c r="A318" s="271"/>
      <c r="B318" s="272"/>
      <c r="C318" s="273"/>
    </row>
    <row r="319" spans="1:3" x14ac:dyDescent="0.2">
      <c r="A319" s="271" t="s">
        <v>87</v>
      </c>
      <c r="B319" s="272">
        <v>1</v>
      </c>
      <c r="C319" s="273"/>
    </row>
    <row r="320" spans="1:3" x14ac:dyDescent="0.2">
      <c r="A320" s="271"/>
      <c r="B320" s="272"/>
      <c r="C320" s="273"/>
    </row>
    <row r="321" spans="1:3" x14ac:dyDescent="0.2">
      <c r="A321" s="271" t="s">
        <v>88</v>
      </c>
      <c r="B321" s="272">
        <v>1</v>
      </c>
      <c r="C321" s="273"/>
    </row>
    <row r="322" spans="1:3" x14ac:dyDescent="0.2">
      <c r="A322" s="271"/>
      <c r="B322" s="272"/>
      <c r="C322" s="273"/>
    </row>
    <row r="323" spans="1:3" x14ac:dyDescent="0.2">
      <c r="A323" s="271" t="s">
        <v>89</v>
      </c>
      <c r="B323" s="272">
        <v>1</v>
      </c>
      <c r="C323" s="273"/>
    </row>
    <row r="324" spans="1:3" x14ac:dyDescent="0.2">
      <c r="A324" s="271"/>
      <c r="B324" s="272"/>
      <c r="C324" s="273"/>
    </row>
    <row r="325" spans="1:3" x14ac:dyDescent="0.2">
      <c r="A325" s="271" t="s">
        <v>149</v>
      </c>
      <c r="B325" s="272">
        <v>1</v>
      </c>
      <c r="C325" s="273"/>
    </row>
    <row r="326" spans="1:3" x14ac:dyDescent="0.2">
      <c r="A326" s="271"/>
      <c r="B326" s="272"/>
      <c r="C326" s="273"/>
    </row>
    <row r="327" spans="1:3" x14ac:dyDescent="0.2">
      <c r="A327" s="271" t="s">
        <v>150</v>
      </c>
      <c r="B327" s="272">
        <v>1</v>
      </c>
      <c r="C327" s="273"/>
    </row>
    <row r="508" spans="19:19" x14ac:dyDescent="0.2">
      <c r="S508" s="251"/>
    </row>
  </sheetData>
  <sheetProtection sheet="1" objects="1" scenarios="1"/>
  <mergeCells count="1">
    <mergeCell ref="M1:O1"/>
  </mergeCells>
  <phoneticPr fontId="0" type="noConversion"/>
  <printOptions gridLines="1" gridLinesSet="0"/>
  <pageMargins left="0.2" right="0.22" top="0.81" bottom="1" header="0.5" footer="0.5"/>
  <pageSetup scale="55" orientation="landscape" horizontalDpi="4294967292" verticalDpi="4294967292" r:id="rId1"/>
  <headerFooter alignWithMargins="0">
    <oddHeader>&amp;F</oddHeader>
    <oddFooter>Page &amp;P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37"/>
  <sheetViews>
    <sheetView workbookViewId="0">
      <selection activeCell="C3" sqref="C3"/>
    </sheetView>
  </sheetViews>
  <sheetFormatPr defaultRowHeight="15" customHeight="1" x14ac:dyDescent="0.2"/>
  <cols>
    <col min="1" max="1" width="9.140625" style="107"/>
    <col min="2" max="2" width="27.140625" style="107" customWidth="1"/>
    <col min="3" max="3" width="13.5703125" style="107" customWidth="1"/>
    <col min="4" max="6" width="9.140625" style="107"/>
    <col min="7" max="7" width="11.7109375" style="107" customWidth="1"/>
    <col min="8" max="8" width="9.85546875" style="107" customWidth="1"/>
    <col min="9" max="14" width="9.140625" style="107"/>
    <col min="15" max="15" width="20" style="107" customWidth="1"/>
    <col min="16" max="16" width="9.140625" style="107"/>
    <col min="17" max="17" width="17.28515625" style="107" bestFit="1" customWidth="1"/>
    <col min="18" max="16384" width="9.140625" style="107"/>
  </cols>
  <sheetData>
    <row r="2" spans="2:16" ht="15" customHeight="1" x14ac:dyDescent="0.25">
      <c r="B2" s="106" t="s">
        <v>159</v>
      </c>
      <c r="E2" s="108" t="s">
        <v>158</v>
      </c>
    </row>
    <row r="3" spans="2:16" ht="15" customHeight="1" x14ac:dyDescent="0.2">
      <c r="B3" s="109" t="s">
        <v>270</v>
      </c>
      <c r="C3" s="110" t="s">
        <v>349</v>
      </c>
      <c r="E3" s="107" t="s">
        <v>167</v>
      </c>
      <c r="O3" s="107" t="s">
        <v>197</v>
      </c>
    </row>
    <row r="4" spans="2:16" ht="15" customHeight="1" x14ac:dyDescent="0.2">
      <c r="B4" s="109" t="s">
        <v>160</v>
      </c>
      <c r="C4" s="110" t="s">
        <v>350</v>
      </c>
      <c r="E4" s="111" t="b">
        <v>1</v>
      </c>
      <c r="F4" s="293" t="s">
        <v>278</v>
      </c>
      <c r="G4" s="293"/>
      <c r="H4" s="293"/>
      <c r="I4" s="293"/>
      <c r="J4" s="293"/>
      <c r="K4" s="293"/>
      <c r="L4" s="293"/>
      <c r="M4" s="293"/>
      <c r="O4" s="112">
        <v>-0.83266099999999998</v>
      </c>
      <c r="P4" s="113"/>
    </row>
    <row r="5" spans="2:16" ht="15" customHeight="1" x14ac:dyDescent="0.2">
      <c r="B5" s="114" t="s">
        <v>24</v>
      </c>
      <c r="C5" s="115">
        <v>9.4896773339334436E-3</v>
      </c>
      <c r="E5" s="111" t="b">
        <v>0</v>
      </c>
      <c r="F5" s="293" t="s">
        <v>279</v>
      </c>
      <c r="G5" s="293"/>
      <c r="H5" s="293"/>
      <c r="I5" s="293"/>
      <c r="J5" s="293"/>
      <c r="K5" s="293"/>
      <c r="L5" s="293"/>
      <c r="M5" s="293"/>
      <c r="O5" s="112">
        <v>-0.83284100000000005</v>
      </c>
      <c r="P5" s="113"/>
    </row>
    <row r="6" spans="2:16" ht="15" customHeight="1" x14ac:dyDescent="0.2">
      <c r="B6" s="114" t="s">
        <v>161</v>
      </c>
      <c r="C6" s="116">
        <v>1.9618296672718473E-4</v>
      </c>
      <c r="E6" s="111" t="b">
        <v>0</v>
      </c>
      <c r="F6" s="293" t="s">
        <v>280</v>
      </c>
      <c r="G6" s="293"/>
      <c r="H6" s="293"/>
      <c r="I6" s="293"/>
      <c r="J6" s="293"/>
      <c r="K6" s="293"/>
      <c r="L6" s="293"/>
      <c r="M6" s="293"/>
      <c r="O6" s="112">
        <v>-0.83254399999999995</v>
      </c>
      <c r="P6" s="113"/>
    </row>
    <row r="7" spans="2:16" ht="15" customHeight="1" x14ac:dyDescent="0.2">
      <c r="B7" s="117" t="s">
        <v>162</v>
      </c>
      <c r="C7" s="116">
        <v>2.9214176314452472E-2</v>
      </c>
      <c r="E7" s="118" t="b">
        <v>1</v>
      </c>
      <c r="F7" s="294" t="s">
        <v>240</v>
      </c>
      <c r="G7" s="294"/>
      <c r="H7" s="294"/>
      <c r="I7" s="294"/>
      <c r="J7" s="294"/>
      <c r="K7" s="294"/>
      <c r="L7" s="294"/>
      <c r="M7" s="294"/>
      <c r="O7" s="112">
        <v>-0.83256300000000005</v>
      </c>
      <c r="P7" s="113"/>
    </row>
    <row r="8" spans="2:16" ht="15" customHeight="1" x14ac:dyDescent="0.2">
      <c r="B8" s="109" t="s">
        <v>269</v>
      </c>
      <c r="C8" s="116">
        <v>8.5229728298341634E-3</v>
      </c>
      <c r="E8" s="119"/>
      <c r="F8" s="295"/>
      <c r="G8" s="295"/>
      <c r="H8" s="295"/>
      <c r="I8" s="295"/>
      <c r="J8" s="295"/>
      <c r="K8" s="295"/>
      <c r="L8" s="295"/>
      <c r="M8" s="295"/>
      <c r="O8" s="112">
        <v>-0.83225199999999999</v>
      </c>
      <c r="P8" s="113"/>
    </row>
    <row r="9" spans="2:16" ht="15" customHeight="1" x14ac:dyDescent="0.2">
      <c r="B9" s="109" t="s">
        <v>163</v>
      </c>
      <c r="C9" s="120">
        <f>Air_Voltage-C8</f>
        <v>-0.84071237282983424</v>
      </c>
      <c r="D9" s="121"/>
      <c r="E9" s="122"/>
      <c r="O9" s="112">
        <v>-0.83222200000000002</v>
      </c>
      <c r="P9" s="113"/>
    </row>
    <row r="10" spans="2:16" ht="15" customHeight="1" x14ac:dyDescent="0.25">
      <c r="B10" s="109" t="s">
        <v>196</v>
      </c>
      <c r="C10" s="120">
        <f>AVERAGE(O4:O13)</f>
        <v>-0.83218940000000008</v>
      </c>
      <c r="E10" s="106" t="s">
        <v>195</v>
      </c>
      <c r="O10" s="112">
        <v>-0.831982</v>
      </c>
      <c r="P10" s="113"/>
    </row>
    <row r="11" spans="2:16" ht="15" customHeight="1" x14ac:dyDescent="0.2">
      <c r="E11" s="111" t="b">
        <v>1</v>
      </c>
      <c r="F11" s="299" t="s">
        <v>259</v>
      </c>
      <c r="G11" s="299"/>
      <c r="H11" s="299"/>
      <c r="I11" s="299"/>
      <c r="J11" s="299"/>
      <c r="K11" s="299"/>
      <c r="L11" s="299"/>
      <c r="M11" s="299"/>
      <c r="O11" s="112">
        <v>-0.831843</v>
      </c>
      <c r="P11" s="113"/>
    </row>
    <row r="12" spans="2:16" ht="15" customHeight="1" x14ac:dyDescent="0.25">
      <c r="B12" s="106" t="s">
        <v>289</v>
      </c>
      <c r="E12" s="122" t="str">
        <f>IF(OR(E7,E11),"","Warning no data will be saved after a measurement!!! Neither to summary or as a full sheet")</f>
        <v/>
      </c>
      <c r="O12" s="112">
        <v>-0.83154600000000001</v>
      </c>
      <c r="P12" s="113"/>
    </row>
    <row r="13" spans="2:16" ht="15" customHeight="1" x14ac:dyDescent="0.25">
      <c r="B13" s="114" t="s">
        <v>165</v>
      </c>
      <c r="C13" s="115">
        <v>1.6600000000000001E-30</v>
      </c>
      <c r="E13" s="123" t="s">
        <v>243</v>
      </c>
      <c r="F13" s="124"/>
      <c r="G13" s="124"/>
      <c r="H13" s="124"/>
      <c r="I13" s="124"/>
      <c r="J13" s="124"/>
      <c r="K13" s="124"/>
      <c r="L13" s="124"/>
      <c r="M13" s="124"/>
      <c r="O13" s="112">
        <v>-0.83143999999999996</v>
      </c>
      <c r="P13" s="113"/>
    </row>
    <row r="14" spans="2:16" ht="15" customHeight="1" x14ac:dyDescent="0.2">
      <c r="B14" s="125" t="s">
        <v>168</v>
      </c>
      <c r="C14" s="110" t="s">
        <v>49</v>
      </c>
      <c r="E14" s="126" t="b">
        <v>1</v>
      </c>
      <c r="F14" s="303" t="s">
        <v>242</v>
      </c>
      <c r="G14" s="303"/>
      <c r="H14" s="303"/>
      <c r="I14" s="303"/>
      <c r="J14" s="303"/>
      <c r="K14" s="303"/>
      <c r="L14" s="303"/>
      <c r="M14" s="303"/>
      <c r="O14" s="107" t="s">
        <v>266</v>
      </c>
    </row>
    <row r="15" spans="2:16" ht="15" customHeight="1" x14ac:dyDescent="0.2">
      <c r="B15" s="114" t="s">
        <v>164</v>
      </c>
      <c r="C15" s="110">
        <v>1</v>
      </c>
      <c r="E15" s="127"/>
      <c r="F15" s="128"/>
      <c r="G15" s="128"/>
      <c r="H15" s="128"/>
      <c r="I15" s="128"/>
      <c r="J15" s="128"/>
      <c r="K15" s="128"/>
      <c r="L15" s="128"/>
      <c r="M15" s="128"/>
      <c r="O15" s="129">
        <f>STDEV(O4:O13)</f>
        <v>4.7794239541324037E-4</v>
      </c>
    </row>
    <row r="16" spans="2:16" ht="15" customHeight="1" x14ac:dyDescent="0.25">
      <c r="B16" s="114" t="s">
        <v>2</v>
      </c>
      <c r="C16" s="130">
        <v>0.3</v>
      </c>
      <c r="E16" s="123" t="s">
        <v>244</v>
      </c>
      <c r="F16" s="131"/>
      <c r="G16" s="131"/>
      <c r="H16" s="131"/>
      <c r="I16" s="131"/>
      <c r="J16" s="131"/>
      <c r="K16" s="131"/>
      <c r="L16" s="131"/>
      <c r="M16" s="131"/>
      <c r="O16" s="107" t="s">
        <v>261</v>
      </c>
    </row>
    <row r="17" spans="2:15" ht="15" customHeight="1" x14ac:dyDescent="0.2">
      <c r="B17" s="114" t="s">
        <v>284</v>
      </c>
      <c r="C17" s="114" t="s">
        <v>285</v>
      </c>
      <c r="E17" s="111" t="b">
        <v>1</v>
      </c>
      <c r="F17" s="299" t="s">
        <v>245</v>
      </c>
      <c r="G17" s="299"/>
      <c r="H17" s="299"/>
      <c r="I17" s="299"/>
      <c r="J17" s="299"/>
      <c r="K17" s="299"/>
      <c r="L17" s="299"/>
      <c r="M17" s="299"/>
      <c r="O17" s="132">
        <v>42866.417453703703</v>
      </c>
    </row>
    <row r="18" spans="2:15" ht="27.75" customHeight="1" x14ac:dyDescent="0.2">
      <c r="B18" s="114" t="s">
        <v>313</v>
      </c>
      <c r="C18" s="133" t="s">
        <v>314</v>
      </c>
      <c r="O18" s="134"/>
    </row>
    <row r="19" spans="2:15" ht="15" customHeight="1" x14ac:dyDescent="0.25">
      <c r="E19" s="106" t="s">
        <v>238</v>
      </c>
    </row>
    <row r="20" spans="2:15" ht="15" customHeight="1" x14ac:dyDescent="0.2">
      <c r="B20" s="135"/>
      <c r="E20" s="109">
        <v>5</v>
      </c>
      <c r="F20" s="301" t="s">
        <v>237</v>
      </c>
      <c r="G20" s="301"/>
      <c r="H20" s="301"/>
      <c r="I20" s="301"/>
      <c r="J20" s="301"/>
      <c r="K20" s="301"/>
      <c r="L20" s="301"/>
      <c r="M20" s="302"/>
    </row>
    <row r="21" spans="2:15" ht="15" customHeight="1" x14ac:dyDescent="0.2">
      <c r="E21" s="109">
        <f>6</f>
        <v>6</v>
      </c>
      <c r="F21" s="299" t="s">
        <v>294</v>
      </c>
      <c r="G21" s="299"/>
      <c r="H21" s="299"/>
      <c r="I21" s="299"/>
      <c r="J21" s="299"/>
      <c r="K21" s="299"/>
      <c r="L21" s="299"/>
      <c r="M21" s="299"/>
    </row>
    <row r="22" spans="2:15" ht="15" customHeight="1" x14ac:dyDescent="0.25">
      <c r="B22" s="106" t="s">
        <v>189</v>
      </c>
      <c r="E22" s="136">
        <v>0.3</v>
      </c>
      <c r="F22" s="294" t="s">
        <v>293</v>
      </c>
      <c r="G22" s="294"/>
      <c r="H22" s="294"/>
      <c r="I22" s="294"/>
      <c r="J22" s="294"/>
      <c r="K22" s="294"/>
      <c r="L22" s="294"/>
      <c r="M22" s="294"/>
    </row>
    <row r="23" spans="2:15" ht="15" customHeight="1" x14ac:dyDescent="0.2">
      <c r="B23" s="137" t="s">
        <v>190</v>
      </c>
      <c r="C23" s="109" t="b">
        <v>0</v>
      </c>
      <c r="E23" s="109">
        <v>5</v>
      </c>
      <c r="F23" s="299" t="s">
        <v>329</v>
      </c>
      <c r="G23" s="299"/>
      <c r="H23" s="299"/>
      <c r="I23" s="299"/>
      <c r="J23" s="299"/>
      <c r="K23" s="299"/>
      <c r="L23" s="299"/>
      <c r="M23" s="299"/>
    </row>
    <row r="24" spans="2:15" ht="15" customHeight="1" x14ac:dyDescent="0.2">
      <c r="B24" s="137" t="s">
        <v>191</v>
      </c>
      <c r="C24" s="109">
        <v>1</v>
      </c>
    </row>
    <row r="25" spans="2:15" ht="15" customHeight="1" x14ac:dyDescent="0.25">
      <c r="B25" s="137" t="s">
        <v>192</v>
      </c>
      <c r="C25" s="109">
        <v>20</v>
      </c>
      <c r="E25" s="106" t="s">
        <v>239</v>
      </c>
      <c r="K25" s="122"/>
    </row>
    <row r="26" spans="2:15" ht="15" customHeight="1" x14ac:dyDescent="0.2">
      <c r="B26" s="137" t="s">
        <v>193</v>
      </c>
      <c r="C26" s="109" t="str">
        <f>PassFail(MeasuredLifetimeAuger,MinTauLimit,MaxTauLimit,TF_PassFail)</f>
        <v/>
      </c>
      <c r="E26" s="109">
        <v>1</v>
      </c>
      <c r="F26" s="300" t="s">
        <v>225</v>
      </c>
      <c r="G26" s="301"/>
      <c r="H26" s="301"/>
      <c r="I26" s="301"/>
      <c r="J26" s="301"/>
      <c r="K26" s="301"/>
      <c r="L26" s="301"/>
      <c r="M26" s="302"/>
    </row>
    <row r="28" spans="2:15" ht="15" customHeight="1" x14ac:dyDescent="0.25">
      <c r="E28" s="106" t="s">
        <v>260</v>
      </c>
      <c r="K28" s="122"/>
    </row>
    <row r="29" spans="2:15" ht="15" customHeight="1" x14ac:dyDescent="0.2">
      <c r="C29" s="138"/>
      <c r="E29" s="110">
        <v>12500</v>
      </c>
      <c r="F29" s="296" t="s">
        <v>343</v>
      </c>
      <c r="G29" s="297"/>
      <c r="H29" s="297"/>
      <c r="I29" s="297"/>
      <c r="J29" s="297"/>
      <c r="K29" s="297"/>
      <c r="L29" s="297"/>
      <c r="M29" s="298"/>
    </row>
    <row r="30" spans="2:15" ht="15" customHeight="1" x14ac:dyDescent="0.2">
      <c r="C30" s="138"/>
      <c r="E30" s="110">
        <v>100000</v>
      </c>
      <c r="F30" s="296" t="s">
        <v>326</v>
      </c>
      <c r="G30" s="297"/>
      <c r="H30" s="297"/>
      <c r="I30" s="297"/>
      <c r="J30" s="297"/>
      <c r="K30" s="297"/>
      <c r="L30" s="297"/>
      <c r="M30" s="298"/>
    </row>
    <row r="31" spans="2:15" ht="15" customHeight="1" x14ac:dyDescent="0.2">
      <c r="C31" s="138"/>
      <c r="E31" s="110">
        <v>3</v>
      </c>
      <c r="F31" s="139" t="s">
        <v>327</v>
      </c>
      <c r="G31" s="140"/>
      <c r="H31" s="140"/>
      <c r="I31" s="140"/>
      <c r="J31" s="140"/>
      <c r="K31" s="140"/>
      <c r="L31" s="140"/>
      <c r="M31" s="141"/>
    </row>
    <row r="32" spans="2:15" ht="15" customHeight="1" x14ac:dyDescent="0.2">
      <c r="C32" s="138"/>
      <c r="K32" s="122"/>
    </row>
    <row r="33" spans="3:11" ht="15" customHeight="1" x14ac:dyDescent="0.2">
      <c r="C33" s="122"/>
      <c r="K33" s="122"/>
    </row>
    <row r="34" spans="3:11" ht="15" customHeight="1" x14ac:dyDescent="0.2">
      <c r="K34" s="122"/>
    </row>
    <row r="35" spans="3:11" ht="15" customHeight="1" x14ac:dyDescent="0.2">
      <c r="K35" s="122"/>
    </row>
    <row r="37" spans="3:11" ht="15" customHeight="1" x14ac:dyDescent="0.2">
      <c r="F37" s="142"/>
    </row>
  </sheetData>
  <sheetProtection sheet="1" objects="1" scenarios="1" selectLockedCells="1"/>
  <mergeCells count="15">
    <mergeCell ref="F29:M29"/>
    <mergeCell ref="F30:M30"/>
    <mergeCell ref="F17:M17"/>
    <mergeCell ref="F26:M26"/>
    <mergeCell ref="F11:M11"/>
    <mergeCell ref="F14:M14"/>
    <mergeCell ref="F20:M20"/>
    <mergeCell ref="F21:M21"/>
    <mergeCell ref="F22:M22"/>
    <mergeCell ref="F23:M23"/>
    <mergeCell ref="F4:M4"/>
    <mergeCell ref="F5:M5"/>
    <mergeCell ref="F6:M6"/>
    <mergeCell ref="F7:M7"/>
    <mergeCell ref="F8:M8"/>
  </mergeCells>
  <dataValidations count="4">
    <dataValidation type="list" allowBlank="1" showInputMessage="1" showErrorMessage="1" sqref="C23 E17 E11 E4:E7 E14">
      <formula1>TF_List</formula1>
    </dataValidation>
    <dataValidation type="list" allowBlank="1" showInputMessage="1" showErrorMessage="1" sqref="E26">
      <formula1>VRangeList</formula1>
    </dataValidation>
    <dataValidation type="list" allowBlank="1" showInputMessage="1" showErrorMessage="1" sqref="C17">
      <formula1>AugerModelList</formula1>
    </dataValidation>
    <dataValidation type="list" allowBlank="1" showInputMessage="1" showErrorMessage="1" sqref="C18">
      <formula1>MobilityModelList</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4"/>
  <sheetViews>
    <sheetView workbookViewId="0"/>
  </sheetViews>
  <sheetFormatPr defaultRowHeight="12.75" x14ac:dyDescent="0.2"/>
  <cols>
    <col min="1" max="1" width="9.28515625" style="161" bestFit="1" customWidth="1"/>
    <col min="2" max="2" width="12.140625" style="161" customWidth="1"/>
    <col min="3" max="3" width="12" style="161" customWidth="1"/>
    <col min="4" max="4" width="10.85546875" style="161" customWidth="1"/>
    <col min="5" max="5" width="11.42578125" style="161" bestFit="1" customWidth="1"/>
    <col min="6" max="6" width="11.7109375" style="161" customWidth="1"/>
    <col min="7" max="7" width="13.42578125" style="161" customWidth="1"/>
    <col min="8" max="8" width="9.28515625" style="161" bestFit="1" customWidth="1"/>
    <col min="9" max="9" width="11.140625" style="161" customWidth="1"/>
    <col min="10" max="12" width="9.140625" style="161"/>
    <col min="13" max="13" width="10.42578125" style="161" customWidth="1"/>
    <col min="14" max="14" width="11.140625" style="164" customWidth="1"/>
    <col min="15" max="16" width="9.140625" style="161"/>
    <col min="17" max="17" width="9.28515625" style="161" bestFit="1" customWidth="1"/>
    <col min="18" max="18" width="12.28515625" style="161" customWidth="1"/>
    <col min="19" max="19" width="9.28515625" style="161" bestFit="1" customWidth="1"/>
    <col min="20" max="20" width="10.5703125" style="161" customWidth="1"/>
    <col min="21" max="21" width="11.5703125" style="161" customWidth="1"/>
    <col min="22" max="22" width="12" style="161" customWidth="1"/>
    <col min="23" max="23" width="13.140625" style="161" customWidth="1"/>
    <col min="24" max="24" width="11.28515625" style="161" customWidth="1"/>
    <col min="25" max="25" width="12.140625" style="161" customWidth="1"/>
    <col min="26" max="26" width="13.140625" style="161" customWidth="1"/>
    <col min="27" max="16384" width="9.140625" style="161"/>
  </cols>
  <sheetData>
    <row r="1" spans="1:26" s="150" customFormat="1" ht="27" customHeight="1" x14ac:dyDescent="0.2">
      <c r="A1" s="143" t="s">
        <v>14</v>
      </c>
      <c r="B1" s="144" t="s">
        <v>200</v>
      </c>
      <c r="C1" s="145" t="s">
        <v>201</v>
      </c>
      <c r="D1" s="145" t="s">
        <v>321</v>
      </c>
      <c r="E1" s="146" t="s">
        <v>194</v>
      </c>
      <c r="F1" s="146" t="s">
        <v>344</v>
      </c>
      <c r="G1" s="146" t="s">
        <v>20</v>
      </c>
      <c r="H1" s="146" t="s">
        <v>202</v>
      </c>
      <c r="I1" s="146" t="s">
        <v>203</v>
      </c>
      <c r="J1" s="146" t="s">
        <v>151</v>
      </c>
      <c r="K1" s="146" t="s">
        <v>204</v>
      </c>
      <c r="L1" s="146" t="s">
        <v>29</v>
      </c>
      <c r="M1" s="146" t="s">
        <v>28</v>
      </c>
      <c r="N1" s="147" t="s">
        <v>0</v>
      </c>
      <c r="O1" s="146" t="s">
        <v>1</v>
      </c>
      <c r="P1" s="147" t="s">
        <v>322</v>
      </c>
      <c r="Q1" s="146" t="s">
        <v>323</v>
      </c>
      <c r="R1" s="146" t="s">
        <v>44</v>
      </c>
      <c r="S1" s="146" t="s">
        <v>43</v>
      </c>
      <c r="T1" s="147" t="s">
        <v>21</v>
      </c>
      <c r="U1" s="148" t="s">
        <v>267</v>
      </c>
      <c r="V1" s="146" t="s">
        <v>208</v>
      </c>
      <c r="W1" s="146" t="s">
        <v>205</v>
      </c>
      <c r="X1" s="146" t="s">
        <v>206</v>
      </c>
      <c r="Y1" s="146" t="s">
        <v>207</v>
      </c>
      <c r="Z1" s="149" t="s">
        <v>217</v>
      </c>
    </row>
    <row r="2" spans="1:26" ht="21.75" customHeight="1" x14ac:dyDescent="0.2">
      <c r="A2" s="151" t="str">
        <f>SampleNameUserSheet</f>
        <v>Sample_QSS_50</v>
      </c>
      <c r="B2" s="152">
        <f>MeasDate</f>
        <v>42866</v>
      </c>
      <c r="C2" s="153">
        <f>MeasTime</f>
        <v>0.43538194444444445</v>
      </c>
      <c r="D2" s="154">
        <f>Temperature</f>
        <v>50.360469000000002</v>
      </c>
      <c r="E2" s="155">
        <f>Thickness</f>
        <v>3.5000000000000003E-2</v>
      </c>
      <c r="F2" s="155">
        <f>SampleDoping</f>
        <v>5834517127358639</v>
      </c>
      <c r="G2" s="155">
        <f>OptConst</f>
        <v>1.1100000000000001</v>
      </c>
      <c r="H2" s="156">
        <f>SpecMCD</f>
        <v>1000000000000000</v>
      </c>
      <c r="I2" s="155">
        <f>BiasLight</f>
        <v>0</v>
      </c>
      <c r="J2" s="155" t="str">
        <f>AnalysisMode</f>
        <v>Generalized (1/1)</v>
      </c>
      <c r="K2" s="154">
        <f>MeasuredLifetime</f>
        <v>2.9459166017500849</v>
      </c>
      <c r="L2" s="156">
        <f>Jo</f>
        <v>-1.6790295059036426E-11</v>
      </c>
      <c r="M2" s="157">
        <f>TauFitIntercept</f>
        <v>1.6230275414758351</v>
      </c>
      <c r="N2" s="157">
        <f>SheetResistance</f>
        <v>54.745694490315337</v>
      </c>
      <c r="O2" s="157">
        <f>MeasuredResistivity</f>
        <v>1.916099307161037</v>
      </c>
      <c r="P2" s="157">
        <f>CorrectedSheetRho</f>
        <v>81.407542707392437</v>
      </c>
      <c r="Q2" s="157">
        <f>CorrectedResistivity</f>
        <v>2.8492639947587355</v>
      </c>
      <c r="R2" s="154">
        <f>MaxSuns</f>
        <v>59.759460732363969</v>
      </c>
      <c r="S2" s="156">
        <f>Traps</f>
        <v>0</v>
      </c>
      <c r="T2" s="156">
        <f>MaxApparentCD</f>
        <v>1384023143857424</v>
      </c>
      <c r="U2" s="158">
        <f ca="1">ImpliedVoc1sun</f>
        <v>0.53095315321454684</v>
      </c>
      <c r="V2" s="156">
        <f>RefCellCal</f>
        <v>9.4896773339334436E-3</v>
      </c>
      <c r="W2" s="159">
        <f>A_cal</f>
        <v>1.9618296672718473E-4</v>
      </c>
      <c r="X2" s="159">
        <f>B_cal</f>
        <v>2.9214176314452472E-2</v>
      </c>
      <c r="Y2" s="155">
        <f>C_cal</f>
        <v>-0.84071237282983424</v>
      </c>
      <c r="Z2" s="160" t="str">
        <f>InstrumentSN</f>
        <v>14-127030</v>
      </c>
    </row>
    <row r="4" spans="1:26" x14ac:dyDescent="0.2">
      <c r="A4" s="162" t="s">
        <v>127</v>
      </c>
      <c r="G4" s="163"/>
    </row>
    <row r="5" spans="1:26" x14ac:dyDescent="0.2">
      <c r="A5" s="162" t="s">
        <v>27</v>
      </c>
      <c r="N5" s="161"/>
    </row>
    <row r="6" spans="1:26" x14ac:dyDescent="0.2">
      <c r="A6" s="162" t="s">
        <v>30</v>
      </c>
    </row>
    <row r="8" spans="1:26" x14ac:dyDescent="0.2">
      <c r="A8" s="161" t="s">
        <v>41</v>
      </c>
    </row>
    <row r="9" spans="1:26" x14ac:dyDescent="0.2">
      <c r="A9" s="161" t="s">
        <v>42</v>
      </c>
    </row>
    <row r="10" spans="1:26" s="165" customFormat="1" x14ac:dyDescent="0.2">
      <c r="A10" s="165" t="s">
        <v>32</v>
      </c>
      <c r="B10" s="165" t="s">
        <v>15</v>
      </c>
      <c r="C10" s="165" t="s">
        <v>19</v>
      </c>
      <c r="D10" s="165" t="s">
        <v>309</v>
      </c>
      <c r="E10" s="165" t="s">
        <v>33</v>
      </c>
      <c r="F10" s="165" t="s">
        <v>34</v>
      </c>
      <c r="G10" s="165" t="s">
        <v>209</v>
      </c>
      <c r="H10" s="165" t="s">
        <v>210</v>
      </c>
      <c r="I10" s="165" t="s">
        <v>211</v>
      </c>
      <c r="J10" s="165" t="s">
        <v>35</v>
      </c>
      <c r="K10" s="165" t="s">
        <v>36</v>
      </c>
      <c r="L10" s="165" t="s">
        <v>40</v>
      </c>
      <c r="M10" s="165" t="s">
        <v>39</v>
      </c>
      <c r="N10" s="165" t="s">
        <v>37</v>
      </c>
      <c r="O10" s="165" t="s">
        <v>38</v>
      </c>
      <c r="P10" s="165" t="s">
        <v>324</v>
      </c>
      <c r="Q10" s="165" t="s">
        <v>325</v>
      </c>
      <c r="R10" s="165" t="s">
        <v>45</v>
      </c>
      <c r="S10" s="165" t="s">
        <v>43</v>
      </c>
      <c r="T10" s="166" t="s">
        <v>46</v>
      </c>
      <c r="U10" s="165" t="s">
        <v>268</v>
      </c>
      <c r="V10" s="165" t="s">
        <v>212</v>
      </c>
      <c r="W10" s="165" t="s">
        <v>213</v>
      </c>
      <c r="X10" s="165" t="s">
        <v>214</v>
      </c>
      <c r="Y10" s="165" t="s">
        <v>215</v>
      </c>
      <c r="Z10" s="165" t="s">
        <v>216</v>
      </c>
    </row>
    <row r="11" spans="1:26" x14ac:dyDescent="0.2">
      <c r="C11" s="167"/>
      <c r="D11" s="167"/>
    </row>
    <row r="20" spans="2:7" s="168" customFormat="1" x14ac:dyDescent="0.2">
      <c r="C20" s="169"/>
      <c r="D20" s="167"/>
    </row>
    <row r="24" spans="2:7" x14ac:dyDescent="0.2">
      <c r="B24" s="168"/>
      <c r="C24" s="169"/>
      <c r="D24" s="167"/>
      <c r="E24" s="168"/>
      <c r="F24" s="168"/>
      <c r="G24" s="168"/>
    </row>
  </sheetData>
  <phoneticPr fontId="3"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C8:BZ8"/>
  <sheetViews>
    <sheetView workbookViewId="0"/>
  </sheetViews>
  <sheetFormatPr defaultRowHeight="12.75" x14ac:dyDescent="0.2"/>
  <cols>
    <col min="1" max="16384" width="9.140625" style="83"/>
  </cols>
  <sheetData>
    <row r="8" spans="3:78" x14ac:dyDescent="0.2">
      <c r="C8" s="170"/>
      <c r="F8" s="170"/>
      <c r="I8" s="170"/>
      <c r="L8" s="170"/>
      <c r="M8" s="170"/>
      <c r="O8" s="170"/>
      <c r="P8" s="170"/>
      <c r="R8" s="170"/>
      <c r="U8" s="170"/>
      <c r="X8" s="170"/>
      <c r="AA8" s="170"/>
      <c r="AD8" s="170"/>
      <c r="AG8" s="170"/>
      <c r="AJ8" s="170"/>
      <c r="AM8" s="170"/>
      <c r="AP8" s="170"/>
      <c r="AS8" s="170"/>
      <c r="AV8" s="170"/>
      <c r="AY8" s="170"/>
      <c r="BB8" s="170"/>
      <c r="BE8" s="170"/>
      <c r="BH8" s="170"/>
      <c r="BK8" s="170"/>
      <c r="BN8" s="170"/>
      <c r="BQ8" s="170"/>
      <c r="BT8" s="170"/>
      <c r="BW8" s="170"/>
      <c r="BZ8" s="17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226"/>
  <sheetViews>
    <sheetView workbookViewId="0"/>
  </sheetViews>
  <sheetFormatPr defaultRowHeight="12.75" x14ac:dyDescent="0.2"/>
  <cols>
    <col min="1" max="1" width="9.28515625" style="83" bestFit="1" customWidth="1"/>
    <col min="2" max="2" width="13.7109375" style="83" customWidth="1"/>
    <col min="3" max="3" width="11.5703125" style="83" customWidth="1"/>
    <col min="4" max="5" width="12.42578125" style="83" bestFit="1" customWidth="1"/>
    <col min="6" max="6" width="9.28515625" style="83" bestFit="1" customWidth="1"/>
    <col min="7" max="7" width="12.42578125" style="83" bestFit="1" customWidth="1"/>
    <col min="8" max="8" width="12.42578125" style="83" customWidth="1"/>
    <col min="9" max="9" width="9.28515625" style="83" bestFit="1" customWidth="1"/>
    <col min="10" max="16384" width="9.140625" style="83"/>
  </cols>
  <sheetData>
    <row r="1" spans="1:26" ht="38.25" x14ac:dyDescent="0.2">
      <c r="A1" s="171" t="s">
        <v>271</v>
      </c>
      <c r="B1" s="171" t="s">
        <v>55</v>
      </c>
      <c r="C1" s="171" t="s">
        <v>56</v>
      </c>
      <c r="D1" s="171" t="s">
        <v>176</v>
      </c>
      <c r="E1" s="171" t="s">
        <v>177</v>
      </c>
      <c r="F1" s="171" t="s">
        <v>297</v>
      </c>
      <c r="G1" s="171" t="s">
        <v>11</v>
      </c>
      <c r="H1" s="171" t="s">
        <v>274</v>
      </c>
      <c r="I1" s="171" t="s">
        <v>273</v>
      </c>
      <c r="J1" s="171" t="s">
        <v>304</v>
      </c>
      <c r="K1" s="172"/>
      <c r="L1" s="172"/>
      <c r="M1" s="172"/>
      <c r="N1" s="172"/>
      <c r="O1" s="172"/>
      <c r="P1" s="172"/>
      <c r="Q1" s="172"/>
      <c r="R1" s="172"/>
      <c r="S1" s="172"/>
      <c r="T1" s="172"/>
      <c r="U1" s="172"/>
      <c r="V1" s="172"/>
      <c r="W1" s="172"/>
      <c r="X1" s="172"/>
      <c r="Y1" s="172"/>
      <c r="Z1" s="172"/>
    </row>
    <row r="2" spans="1:26" x14ac:dyDescent="0.2">
      <c r="A2" s="173">
        <f>Calc!A9</f>
        <v>5.0000000000000002E-5</v>
      </c>
      <c r="B2" s="173">
        <f>Calc!B9</f>
        <v>0.20377600000000001</v>
      </c>
      <c r="C2" s="173">
        <f>Calc!C9</f>
        <v>0.32536900000000002</v>
      </c>
      <c r="D2" s="173">
        <f>Calc!I9</f>
        <v>649484157111175</v>
      </c>
      <c r="E2" s="173">
        <f>Calc!P9</f>
        <v>0</v>
      </c>
      <c r="F2" s="174">
        <f>Calc!S9</f>
        <v>0</v>
      </c>
      <c r="G2" s="173">
        <f>Calc!O9</f>
        <v>649484157111175</v>
      </c>
      <c r="H2" s="175" t="str">
        <f>Calc!X9</f>
        <v/>
      </c>
      <c r="I2" s="175" t="str">
        <f>Calc!Y9</f>
        <v/>
      </c>
      <c r="J2" s="176">
        <f>Calc!AE9</f>
        <v>1650.6434242824266</v>
      </c>
      <c r="K2" s="172"/>
      <c r="L2" s="172"/>
      <c r="M2" s="172"/>
      <c r="N2" s="172"/>
      <c r="O2" s="172"/>
      <c r="P2" s="172"/>
      <c r="Q2" s="172"/>
      <c r="R2" s="172"/>
      <c r="S2" s="172"/>
      <c r="T2" s="172"/>
      <c r="U2" s="172"/>
      <c r="V2" s="172"/>
      <c r="W2" s="172"/>
      <c r="X2" s="172"/>
      <c r="Y2" s="172"/>
      <c r="Z2" s="172"/>
    </row>
    <row r="3" spans="1:26" x14ac:dyDescent="0.2">
      <c r="A3" s="173">
        <f>Calc!A10</f>
        <v>1.4999999999999999E-4</v>
      </c>
      <c r="B3" s="173">
        <f>Calc!B10</f>
        <v>0.35769000000000001</v>
      </c>
      <c r="C3" s="173">
        <f>Calc!C10</f>
        <v>0.49281199999999997</v>
      </c>
      <c r="D3" s="173">
        <f>Calc!I10</f>
        <v>1147139324707402</v>
      </c>
      <c r="E3" s="173">
        <f>Calc!P10</f>
        <v>0</v>
      </c>
      <c r="F3" s="174">
        <f>Calc!S10</f>
        <v>0</v>
      </c>
      <c r="G3" s="173">
        <f>Calc!O10</f>
        <v>1147139324707402</v>
      </c>
      <c r="H3" s="175" t="str">
        <f>Calc!X10</f>
        <v/>
      </c>
      <c r="I3" s="175" t="str">
        <f>Calc!Y10</f>
        <v/>
      </c>
      <c r="J3" s="176">
        <f>Calc!AE10</f>
        <v>1642.1156952788378</v>
      </c>
    </row>
    <row r="4" spans="1:26" x14ac:dyDescent="0.2">
      <c r="A4" s="173">
        <f>Calc!A11</f>
        <v>2.5000000000000001E-4</v>
      </c>
      <c r="B4" s="173">
        <f>Calc!B11</f>
        <v>0.417767</v>
      </c>
      <c r="C4" s="173">
        <f>Calc!C11</f>
        <v>0.55084500000000003</v>
      </c>
      <c r="D4" s="173">
        <f>Calc!I11</f>
        <v>1343046261683069</v>
      </c>
      <c r="E4" s="173">
        <f>Calc!P11</f>
        <v>3.0868383307037376E-6</v>
      </c>
      <c r="F4" s="174">
        <f>Calc!S11</f>
        <v>323953.07109081035</v>
      </c>
      <c r="G4" s="173">
        <f>Calc!O11</f>
        <v>1343046261683069</v>
      </c>
      <c r="H4" s="175" t="str">
        <f>Calc!X11</f>
        <v/>
      </c>
      <c r="I4" s="175" t="str">
        <f>Calc!Y11</f>
        <v/>
      </c>
      <c r="J4" s="176">
        <f>Calc!AE11</f>
        <v>1638.8137171440096</v>
      </c>
    </row>
    <row r="5" spans="1:26" x14ac:dyDescent="0.2">
      <c r="A5" s="173">
        <f>Calc!A12</f>
        <v>3.5E-4</v>
      </c>
      <c r="B5" s="173">
        <f>Calc!B12</f>
        <v>0.43029699999999999</v>
      </c>
      <c r="C5" s="173">
        <f>Calc!C12</f>
        <v>0.56709799999999999</v>
      </c>
      <c r="D5" s="173">
        <f>Calc!I12</f>
        <v>1384023143857424</v>
      </c>
      <c r="E5" s="173">
        <f>Calc!P12</f>
        <v>3.0799149052518582E-6</v>
      </c>
      <c r="F5" s="174">
        <f>Calc!S12</f>
        <v>324681.11534329253</v>
      </c>
      <c r="G5" s="173">
        <f>Calc!O12</f>
        <v>1384023143857424</v>
      </c>
      <c r="H5" s="175" t="str">
        <f>Calc!X12</f>
        <v/>
      </c>
      <c r="I5" s="175" t="str">
        <f>Calc!Y12</f>
        <v/>
      </c>
      <c r="J5" s="176">
        <f>Calc!AE12</f>
        <v>1638.1268727288227</v>
      </c>
    </row>
    <row r="6" spans="1:26" x14ac:dyDescent="0.2">
      <c r="A6" s="173">
        <f>Calc!A13</f>
        <v>4.4999999999999999E-4</v>
      </c>
      <c r="B6" s="173">
        <f>Calc!B13</f>
        <v>0.411439</v>
      </c>
      <c r="C6" s="173">
        <f>Calc!C13</f>
        <v>0.54771800000000004</v>
      </c>
      <c r="D6" s="173">
        <f>Calc!I13</f>
        <v>1322367196618833.2</v>
      </c>
      <c r="E6" s="173">
        <f>Calc!P13</f>
        <v>3.0423340225423324E-6</v>
      </c>
      <c r="F6" s="174">
        <f>Calc!S13</f>
        <v>328692.10330055264</v>
      </c>
      <c r="G6" s="173">
        <f>Calc!O13</f>
        <v>1322367196618833.2</v>
      </c>
      <c r="H6" s="177">
        <f>Calc!X13</f>
        <v>0.65700772891132431</v>
      </c>
      <c r="I6" s="178">
        <f>Calc!Y13</f>
        <v>57.778884619932825</v>
      </c>
      <c r="J6" s="176">
        <f>Calc!AE13</f>
        <v>1639.1608319547456</v>
      </c>
    </row>
    <row r="7" spans="1:26" x14ac:dyDescent="0.2">
      <c r="A7" s="173">
        <f>Calc!A14</f>
        <v>5.5000000000000003E-4</v>
      </c>
      <c r="B7" s="173">
        <f>Calc!B14</f>
        <v>0.38915100000000002</v>
      </c>
      <c r="C7" s="173">
        <f>Calc!C14</f>
        <v>0.52065600000000001</v>
      </c>
      <c r="D7" s="173">
        <f>Calc!I14</f>
        <v>1249615288614097.2</v>
      </c>
      <c r="E7" s="173">
        <f>Calc!P14</f>
        <v>3.0225209327005229E-6</v>
      </c>
      <c r="F7" s="174">
        <f>Calc!S14</f>
        <v>330847.0602609659</v>
      </c>
      <c r="G7" s="173">
        <f>Calc!O14</f>
        <v>1249615288614097.2</v>
      </c>
      <c r="H7" s="177">
        <f>Calc!X14</f>
        <v>0.6552915071661386</v>
      </c>
      <c r="I7" s="178">
        <f>Calc!Y14</f>
        <v>54.958009323644681</v>
      </c>
      <c r="J7" s="176">
        <f>Calc!AE14</f>
        <v>1640.3846977665032</v>
      </c>
    </row>
    <row r="8" spans="1:26" x14ac:dyDescent="0.2">
      <c r="A8" s="173">
        <f>Calc!A15</f>
        <v>6.4999999999999997E-4</v>
      </c>
      <c r="B8" s="173">
        <f>Calc!B15</f>
        <v>0.36729200000000001</v>
      </c>
      <c r="C8" s="173">
        <f>Calc!C15</f>
        <v>0.49328899999999998</v>
      </c>
      <c r="D8" s="173">
        <f>Calc!I15</f>
        <v>1178388243205680</v>
      </c>
      <c r="E8" s="173">
        <f>Calc!P15</f>
        <v>3.00802443386309E-6</v>
      </c>
      <c r="F8" s="174">
        <f>Calc!S15</f>
        <v>332441.80300641747</v>
      </c>
      <c r="G8" s="173">
        <f>Calc!O15</f>
        <v>1178388243205680</v>
      </c>
      <c r="H8" s="177">
        <f>Calc!X15</f>
        <v>0.65352420313749271</v>
      </c>
      <c r="I8" s="178">
        <f>Calc!Y15</f>
        <v>52.075209035462407</v>
      </c>
      <c r="J8" s="176">
        <f>Calc!AE15</f>
        <v>1641.5869613511404</v>
      </c>
    </row>
    <row r="9" spans="1:26" x14ac:dyDescent="0.2">
      <c r="A9" s="173">
        <f>Calc!A16</f>
        <v>7.5000000000000002E-4</v>
      </c>
      <c r="B9" s="173">
        <f>Calc!B16</f>
        <v>0.34568199999999999</v>
      </c>
      <c r="C9" s="173">
        <f>Calc!C16</f>
        <v>0.46699299999999999</v>
      </c>
      <c r="D9" s="173">
        <f>Calc!I16</f>
        <v>1108093752644079.5</v>
      </c>
      <c r="E9" s="173">
        <f>Calc!P16</f>
        <v>2.9877545225338654E-6</v>
      </c>
      <c r="F9" s="174">
        <f>Calc!S16</f>
        <v>334697.48020332266</v>
      </c>
      <c r="G9" s="173">
        <f>Calc!O16</f>
        <v>1108093752644079.5</v>
      </c>
      <c r="H9" s="177">
        <f>Calc!X16</f>
        <v>0.65168529816762288</v>
      </c>
      <c r="I9" s="178">
        <f>Calc!Y16</f>
        <v>49.30098253974662</v>
      </c>
      <c r="J9" s="176">
        <f>Calc!AE16</f>
        <v>1642.777447191311</v>
      </c>
    </row>
    <row r="10" spans="1:26" x14ac:dyDescent="0.2">
      <c r="A10" s="173">
        <f>Calc!A17</f>
        <v>8.4999999999999995E-4</v>
      </c>
      <c r="B10" s="173">
        <f>Calc!B17</f>
        <v>0.32507799999999998</v>
      </c>
      <c r="C10" s="173">
        <f>Calc!C17</f>
        <v>0.44172600000000001</v>
      </c>
      <c r="D10" s="173">
        <f>Calc!I17</f>
        <v>1041183839619559.1</v>
      </c>
      <c r="E10" s="173">
        <f>Calc!P17</f>
        <v>2.9678459467526309E-6</v>
      </c>
      <c r="F10" s="174">
        <f>Calc!S17</f>
        <v>336942.91319911956</v>
      </c>
      <c r="G10" s="173">
        <f>Calc!O17</f>
        <v>1041183839619559.1</v>
      </c>
      <c r="H10" s="177">
        <f>Calc!X17</f>
        <v>0.64983646234047787</v>
      </c>
      <c r="I10" s="178">
        <f>Calc!Y17</f>
        <v>46.634792137465212</v>
      </c>
      <c r="J10" s="176">
        <f>Calc!AE17</f>
        <v>1643.9143018086704</v>
      </c>
    </row>
    <row r="11" spans="1:26" x14ac:dyDescent="0.2">
      <c r="A11" s="173">
        <f>Calc!A18</f>
        <v>9.5E-4</v>
      </c>
      <c r="B11" s="173">
        <f>Calc!B18</f>
        <v>0.30570399999999998</v>
      </c>
      <c r="C11" s="173">
        <f>Calc!C18</f>
        <v>0.417846</v>
      </c>
      <c r="D11" s="173">
        <f>Calc!I18</f>
        <v>978368144130095.25</v>
      </c>
      <c r="E11" s="173">
        <f>Calc!P18</f>
        <v>2.9481575802211441E-6</v>
      </c>
      <c r="F11" s="174">
        <f>Calc!S18</f>
        <v>339193.30574705137</v>
      </c>
      <c r="G11" s="173">
        <f>Calc!O18</f>
        <v>978368144130095.25</v>
      </c>
      <c r="H11" s="177">
        <f>Calc!X18</f>
        <v>0.64800205472252792</v>
      </c>
      <c r="I11" s="178">
        <f>Calc!Y18</f>
        <v>44.113913899869409</v>
      </c>
      <c r="J11" s="176">
        <f>Calc!AE18</f>
        <v>1644.984894213711</v>
      </c>
    </row>
    <row r="12" spans="1:26" x14ac:dyDescent="0.2">
      <c r="A12" s="173">
        <f>Calc!A19</f>
        <v>1.0499999999999999E-3</v>
      </c>
      <c r="B12" s="173">
        <f>Calc!B19</f>
        <v>0.28674500000000003</v>
      </c>
      <c r="C12" s="173">
        <f>Calc!C19</f>
        <v>0.39495400000000003</v>
      </c>
      <c r="D12" s="173">
        <f>Calc!I19</f>
        <v>916991698137804.12</v>
      </c>
      <c r="E12" s="173">
        <f>Calc!P19</f>
        <v>2.9233860095902225E-6</v>
      </c>
      <c r="F12" s="174">
        <f>Calc!S19</f>
        <v>342067.69687949936</v>
      </c>
      <c r="G12" s="173">
        <f>Calc!O19</f>
        <v>916991698137804.12</v>
      </c>
      <c r="H12" s="177">
        <f>Calc!X19</f>
        <v>0.64610517427591074</v>
      </c>
      <c r="I12" s="178">
        <f>Calc!Y19</f>
        <v>41.696847408151932</v>
      </c>
      <c r="J12" s="176">
        <f>Calc!AE19</f>
        <v>1646.0340705672379</v>
      </c>
    </row>
    <row r="13" spans="1:26" x14ac:dyDescent="0.2">
      <c r="A13" s="173">
        <f>Calc!A20</f>
        <v>1.15E-3</v>
      </c>
      <c r="B13" s="173">
        <f>Calc!B20</f>
        <v>0.26933299999999999</v>
      </c>
      <c r="C13" s="173">
        <f>Calc!C20</f>
        <v>0.37357600000000002</v>
      </c>
      <c r="D13" s="173">
        <f>Calc!I20</f>
        <v>860705038298975.37</v>
      </c>
      <c r="E13" s="173">
        <f>Calc!P20</f>
        <v>2.9010397412753669E-6</v>
      </c>
      <c r="F13" s="174">
        <f>Calc!S20</f>
        <v>344702.76922410907</v>
      </c>
      <c r="G13" s="173">
        <f>Calc!O20</f>
        <v>860705038298975.37</v>
      </c>
      <c r="H13" s="177">
        <f>Calc!X20</f>
        <v>0.64426272856017008</v>
      </c>
      <c r="I13" s="178">
        <f>Calc!Y20</f>
        <v>39.43888676285313</v>
      </c>
      <c r="J13" s="176">
        <f>Calc!AE20</f>
        <v>1646.998967669052</v>
      </c>
    </row>
    <row r="14" spans="1:26" x14ac:dyDescent="0.2">
      <c r="A14" s="173">
        <f>Calc!A21</f>
        <v>1.25E-3</v>
      </c>
      <c r="B14" s="173">
        <f>Calc!B21</f>
        <v>0.25314300000000001</v>
      </c>
      <c r="C14" s="173">
        <f>Calc!C21</f>
        <v>0.35358699999999998</v>
      </c>
      <c r="D14" s="173">
        <f>Calc!I21</f>
        <v>808438784862025.5</v>
      </c>
      <c r="E14" s="173">
        <f>Calc!P21</f>
        <v>2.8790142077357204E-6</v>
      </c>
      <c r="F14" s="174">
        <f>Calc!S21</f>
        <v>347340.02832619165</v>
      </c>
      <c r="G14" s="173">
        <f>Calc!O21</f>
        <v>808438784862025.5</v>
      </c>
      <c r="H14" s="177">
        <f>Calc!X21</f>
        <v>0.64245199372304429</v>
      </c>
      <c r="I14" s="178">
        <f>Calc!Y21</f>
        <v>37.327363261912645</v>
      </c>
      <c r="J14" s="176">
        <f>Calc!AE21</f>
        <v>1647.897297262904</v>
      </c>
    </row>
    <row r="15" spans="1:26" x14ac:dyDescent="0.2">
      <c r="A15" s="173">
        <f>Calc!A22</f>
        <v>1.3500000000000001E-3</v>
      </c>
      <c r="B15" s="173">
        <f>Calc!B22</f>
        <v>0.238311</v>
      </c>
      <c r="C15" s="173">
        <f>Calc!C22</f>
        <v>0.334733</v>
      </c>
      <c r="D15" s="173">
        <f>Calc!I22</f>
        <v>760615872535374</v>
      </c>
      <c r="E15" s="173">
        <f>Calc!P22</f>
        <v>2.8613323263219345E-6</v>
      </c>
      <c r="F15" s="174">
        <f>Calc!S22</f>
        <v>349486.58108021785</v>
      </c>
      <c r="G15" s="173">
        <f>Calc!O22</f>
        <v>760615872535374</v>
      </c>
      <c r="H15" s="177">
        <f>Calc!X22</f>
        <v>0.64069989520557458</v>
      </c>
      <c r="I15" s="178">
        <f>Calc!Y22</f>
        <v>35.336299183778081</v>
      </c>
      <c r="J15" s="176">
        <f>Calc!AE22</f>
        <v>1648.7212548051307</v>
      </c>
    </row>
    <row r="16" spans="1:26" x14ac:dyDescent="0.2">
      <c r="A16" s="173">
        <f>Calc!A23</f>
        <v>1.4499999999999999E-3</v>
      </c>
      <c r="B16" s="173">
        <f>Calc!B23</f>
        <v>0.22392999999999999</v>
      </c>
      <c r="C16" s="173">
        <f>Calc!C23</f>
        <v>0.31689699999999998</v>
      </c>
      <c r="D16" s="173">
        <f>Calc!I23</f>
        <v>714301263726414.75</v>
      </c>
      <c r="E16" s="173">
        <f>Calc!P23</f>
        <v>2.8384063202308244E-6</v>
      </c>
      <c r="F16" s="174">
        <f>Calc!S23</f>
        <v>352309.52975669794</v>
      </c>
      <c r="G16" s="173">
        <f>Calc!O23</f>
        <v>714301263726414.75</v>
      </c>
      <c r="H16" s="177">
        <f>Calc!X23</f>
        <v>0.63890490998492799</v>
      </c>
      <c r="I16" s="178">
        <f>Calc!Y23</f>
        <v>33.45267366630636</v>
      </c>
      <c r="J16" s="176">
        <f>Calc!AE23</f>
        <v>1649.5210569724827</v>
      </c>
    </row>
    <row r="17" spans="1:10" x14ac:dyDescent="0.2">
      <c r="A17" s="173">
        <f>Calc!A24</f>
        <v>1.5499999999999999E-3</v>
      </c>
      <c r="B17" s="173">
        <f>Calc!B24</f>
        <v>0.210505</v>
      </c>
      <c r="C17" s="173">
        <f>Calc!C24</f>
        <v>0.30014600000000002</v>
      </c>
      <c r="D17" s="173">
        <f>Calc!I24</f>
        <v>671113596181405.25</v>
      </c>
      <c r="E17" s="173">
        <f>Calc!P24</f>
        <v>2.8156457803896481E-6</v>
      </c>
      <c r="F17" s="174">
        <f>Calc!S24</f>
        <v>355157.56344009982</v>
      </c>
      <c r="G17" s="173">
        <f>Calc!O24</f>
        <v>671113596181405.25</v>
      </c>
      <c r="H17" s="177">
        <f>Calc!X24</f>
        <v>0.63713273766979484</v>
      </c>
      <c r="I17" s="178">
        <f>Calc!Y24</f>
        <v>31.684145582740612</v>
      </c>
      <c r="J17" s="176">
        <f>Calc!AE24</f>
        <v>1650.2684940634258</v>
      </c>
    </row>
    <row r="18" spans="1:10" x14ac:dyDescent="0.2">
      <c r="A18" s="173">
        <f>Calc!A25</f>
        <v>1.65E-3</v>
      </c>
      <c r="B18" s="173">
        <f>Calc!B25</f>
        <v>0.19833000000000001</v>
      </c>
      <c r="C18" s="173">
        <f>Calc!C25</f>
        <v>0.28437200000000001</v>
      </c>
      <c r="D18" s="173">
        <f>Calc!I25</f>
        <v>631987287110962.62</v>
      </c>
      <c r="E18" s="173">
        <f>Calc!P25</f>
        <v>2.7985986073029044E-6</v>
      </c>
      <c r="F18" s="174">
        <f>Calc!S25</f>
        <v>357321.03270243987</v>
      </c>
      <c r="G18" s="173">
        <f>Calc!O25</f>
        <v>631987287110962.62</v>
      </c>
      <c r="H18" s="177">
        <f>Calc!X25</f>
        <v>0.63543458966155075</v>
      </c>
      <c r="I18" s="178">
        <f>Calc!Y25</f>
        <v>30.018688154684</v>
      </c>
      <c r="J18" s="176">
        <f>Calc!AE25</f>
        <v>1650.9470113259699</v>
      </c>
    </row>
    <row r="19" spans="1:10" x14ac:dyDescent="0.2">
      <c r="A19" s="173">
        <f>Calc!A26</f>
        <v>1.75E-3</v>
      </c>
      <c r="B19" s="173">
        <f>Calc!B26</f>
        <v>0.18623600000000001</v>
      </c>
      <c r="C19" s="173">
        <f>Calc!C26</f>
        <v>0.26950299999999999</v>
      </c>
      <c r="D19" s="173">
        <f>Calc!I26</f>
        <v>593159100886864.75</v>
      </c>
      <c r="E19" s="173">
        <f>Calc!P26</f>
        <v>2.7716286702499275E-6</v>
      </c>
      <c r="F19" s="174">
        <f>Calc!S26</f>
        <v>360798.1083333221</v>
      </c>
      <c r="G19" s="173">
        <f>Calc!O26</f>
        <v>593159100886864.75</v>
      </c>
      <c r="H19" s="177">
        <f>Calc!X26</f>
        <v>0.63365095284005557</v>
      </c>
      <c r="I19" s="178">
        <f>Calc!Y26</f>
        <v>28.448549878123639</v>
      </c>
      <c r="J19" s="176">
        <f>Calc!AE26</f>
        <v>1651.6216521726055</v>
      </c>
    </row>
    <row r="20" spans="1:10" x14ac:dyDescent="0.2">
      <c r="A20" s="173">
        <f>Calc!A27</f>
        <v>1.8500000000000001E-3</v>
      </c>
      <c r="B20" s="173">
        <f>Calc!B27</f>
        <v>0.174905</v>
      </c>
      <c r="C20" s="173">
        <f>Calc!C27</f>
        <v>0.255471</v>
      </c>
      <c r="D20" s="173">
        <f>Calc!I27</f>
        <v>556814747668234.69</v>
      </c>
      <c r="E20" s="173">
        <f>Calc!P27</f>
        <v>2.7447653372902988E-6</v>
      </c>
      <c r="F20" s="174">
        <f>Calc!S27</f>
        <v>364329.35587003373</v>
      </c>
      <c r="G20" s="173">
        <f>Calc!O27</f>
        <v>556814747668234.69</v>
      </c>
      <c r="H20" s="177">
        <f>Calc!X27</f>
        <v>0.63188089986907747</v>
      </c>
      <c r="I20" s="178">
        <f>Calc!Y27</f>
        <v>26.966804678532231</v>
      </c>
      <c r="J20" s="176">
        <f>Calc!AE27</f>
        <v>1652.2543099152397</v>
      </c>
    </row>
    <row r="21" spans="1:10" x14ac:dyDescent="0.2">
      <c r="A21" s="173">
        <f>Calc!A28</f>
        <v>1.9499999999999999E-3</v>
      </c>
      <c r="B21" s="173">
        <f>Calc!B28</f>
        <v>0.16484199999999999</v>
      </c>
      <c r="C21" s="173">
        <f>Calc!C28</f>
        <v>0.242205</v>
      </c>
      <c r="D21" s="173">
        <f>Calc!I28</f>
        <v>524565258522314.31</v>
      </c>
      <c r="E21" s="173">
        <f>Calc!P28</f>
        <v>2.7275295566822044E-6</v>
      </c>
      <c r="F21" s="174">
        <f>Calc!S28</f>
        <v>366631.68385067704</v>
      </c>
      <c r="G21" s="173">
        <f>Calc!O28</f>
        <v>524565258522314.31</v>
      </c>
      <c r="H21" s="177">
        <f>Calc!X28</f>
        <v>0.6302182085307505</v>
      </c>
      <c r="I21" s="178">
        <f>Calc!Y28</f>
        <v>25.565485199803643</v>
      </c>
      <c r="J21" s="176">
        <f>Calc!AE28</f>
        <v>1652.816641859381</v>
      </c>
    </row>
    <row r="22" spans="1:10" x14ac:dyDescent="0.2">
      <c r="A22" s="173">
        <f>Calc!A29</f>
        <v>2.0500000000000002E-3</v>
      </c>
      <c r="B22" s="173">
        <f>Calc!B29</f>
        <v>0.155221</v>
      </c>
      <c r="C22" s="173">
        <f>Calc!C29</f>
        <v>0.229737</v>
      </c>
      <c r="D22" s="173">
        <f>Calc!I29</f>
        <v>493756669006744.94</v>
      </c>
      <c r="E22" s="173">
        <f>Calc!P29</f>
        <v>2.7067562629921005E-6</v>
      </c>
      <c r="F22" s="174">
        <f>Calc!S29</f>
        <v>369445.49394640431</v>
      </c>
      <c r="G22" s="173">
        <f>Calc!O29</f>
        <v>493756669006744.94</v>
      </c>
      <c r="H22" s="177">
        <f>Calc!X29</f>
        <v>0.62853850362608321</v>
      </c>
      <c r="I22" s="178">
        <f>Calc!Y29</f>
        <v>24.2486633921711</v>
      </c>
      <c r="J22" s="176">
        <f>Calc!AE29</f>
        <v>1653.3546912487423</v>
      </c>
    </row>
    <row r="23" spans="1:10" x14ac:dyDescent="0.2">
      <c r="A23" s="173">
        <f>Calc!A30</f>
        <v>2.15E-3</v>
      </c>
      <c r="B23" s="173">
        <f>Calc!B30</f>
        <v>0.14619399999999999</v>
      </c>
      <c r="C23" s="173">
        <f>Calc!C30</f>
        <v>0.21806500000000001</v>
      </c>
      <c r="D23" s="173">
        <f>Calc!I30</f>
        <v>464871884458455.69</v>
      </c>
      <c r="E23" s="173">
        <f>Calc!P30</f>
        <v>2.6848295650047655E-6</v>
      </c>
      <c r="F23" s="174">
        <f>Calc!S30</f>
        <v>372462.76258653228</v>
      </c>
      <c r="G23" s="173">
        <f>Calc!O30</f>
        <v>464871884458455.69</v>
      </c>
      <c r="H23" s="177">
        <f>Calc!X30</f>
        <v>0.62687235752888792</v>
      </c>
      <c r="I23" s="178">
        <f>Calc!Y30</f>
        <v>23.016566590652975</v>
      </c>
      <c r="J23" s="176">
        <f>Calc!AE30</f>
        <v>1653.8598934937306</v>
      </c>
    </row>
    <row r="24" spans="1:10" x14ac:dyDescent="0.2">
      <c r="A24" s="173">
        <f>Calc!A31</f>
        <v>2.2499999999999998E-3</v>
      </c>
      <c r="B24" s="173">
        <f>Calc!B31</f>
        <v>0.137799</v>
      </c>
      <c r="C24" s="173">
        <f>Calc!C31</f>
        <v>0.207012</v>
      </c>
      <c r="D24" s="173">
        <f>Calc!I31</f>
        <v>438028226565760.69</v>
      </c>
      <c r="E24" s="173">
        <f>Calc!P31</f>
        <v>2.6649393953787757E-6</v>
      </c>
      <c r="F24" s="174">
        <f>Calc!S31</f>
        <v>375242.73645596631</v>
      </c>
      <c r="G24" s="173">
        <f>Calc!O31</f>
        <v>438028226565760.69</v>
      </c>
      <c r="H24" s="177">
        <f>Calc!X31</f>
        <v>0.62523464791715877</v>
      </c>
      <c r="I24" s="178">
        <f>Calc!Y31</f>
        <v>21.849361042149596</v>
      </c>
      <c r="J24" s="176">
        <f>Calc!AE31</f>
        <v>1654.3300497981411</v>
      </c>
    </row>
    <row r="25" spans="1:10" x14ac:dyDescent="0.2">
      <c r="A25" s="173">
        <f>Calc!A32</f>
        <v>2.3500000000000001E-3</v>
      </c>
      <c r="B25" s="173">
        <f>Calc!B32</f>
        <v>0.12959200000000001</v>
      </c>
      <c r="C25" s="173">
        <f>Calc!C32</f>
        <v>0.196522</v>
      </c>
      <c r="D25" s="173">
        <f>Calc!I32</f>
        <v>411803263592072.56</v>
      </c>
      <c r="E25" s="173">
        <f>Calc!P32</f>
        <v>2.6391617385626852E-6</v>
      </c>
      <c r="F25" s="174">
        <f>Calc!S32</f>
        <v>378907.9094503487</v>
      </c>
      <c r="G25" s="173">
        <f>Calc!O32</f>
        <v>411803263592072.56</v>
      </c>
      <c r="H25" s="177">
        <f>Calc!X32</f>
        <v>0.62354097533178277</v>
      </c>
      <c r="I25" s="178">
        <f>Calc!Y32</f>
        <v>20.741862858652979</v>
      </c>
      <c r="J25" s="176">
        <f>Calc!AE32</f>
        <v>1654.7899805120198</v>
      </c>
    </row>
    <row r="26" spans="1:10" x14ac:dyDescent="0.2">
      <c r="A26" s="173">
        <f>Calc!A33</f>
        <v>2.4499999999999999E-3</v>
      </c>
      <c r="B26" s="173">
        <f>Calc!B33</f>
        <v>0.122433</v>
      </c>
      <c r="C26" s="173">
        <f>Calc!C33</f>
        <v>0.186644</v>
      </c>
      <c r="D26" s="173">
        <f>Calc!I33</f>
        <v>388941289292236.75</v>
      </c>
      <c r="E26" s="173">
        <f>Calc!P33</f>
        <v>2.6246122082805772E-6</v>
      </c>
      <c r="F26" s="174">
        <f>Calc!S33</f>
        <v>381008.41631391342</v>
      </c>
      <c r="G26" s="173">
        <f>Calc!O33</f>
        <v>388941289292236.75</v>
      </c>
      <c r="H26" s="177">
        <f>Calc!X33</f>
        <v>0.62197943180414406</v>
      </c>
      <c r="I26" s="178">
        <f>Calc!Y33</f>
        <v>19.698941278620836</v>
      </c>
      <c r="J26" s="176">
        <f>Calc!AE33</f>
        <v>1655.1914255681572</v>
      </c>
    </row>
    <row r="27" spans="1:10" x14ac:dyDescent="0.2">
      <c r="A27" s="173">
        <f>Calc!A34</f>
        <v>2.5500000000000002E-3</v>
      </c>
      <c r="B27" s="173">
        <f>Calc!B34</f>
        <v>0.115218</v>
      </c>
      <c r="C27" s="173">
        <f>Calc!C34</f>
        <v>0.17726800000000001</v>
      </c>
      <c r="D27" s="173">
        <f>Calc!I34</f>
        <v>365913839159867.62</v>
      </c>
      <c r="E27" s="173">
        <f>Calc!P34</f>
        <v>2.5998700288841228E-6</v>
      </c>
      <c r="F27" s="174">
        <f>Calc!S34</f>
        <v>384634.38981069886</v>
      </c>
      <c r="G27" s="173">
        <f>Calc!O34</f>
        <v>365913839159867.62</v>
      </c>
      <c r="H27" s="177">
        <f>Calc!X34</f>
        <v>0.62031632597354691</v>
      </c>
      <c r="I27" s="178">
        <f>Calc!Y34</f>
        <v>18.709025991617327</v>
      </c>
      <c r="J27" s="176">
        <f>Calc!AE34</f>
        <v>1655.5962431014395</v>
      </c>
    </row>
    <row r="28" spans="1:10" x14ac:dyDescent="0.2">
      <c r="A28" s="173">
        <f>Calc!A35</f>
        <v>2.65E-3</v>
      </c>
      <c r="B28" s="173">
        <f>Calc!B35</f>
        <v>0.10866099999999999</v>
      </c>
      <c r="C28" s="173">
        <f>Calc!C35</f>
        <v>0.168409</v>
      </c>
      <c r="D28" s="173">
        <f>Calc!I35</f>
        <v>344998097970817.44</v>
      </c>
      <c r="E28" s="173">
        <f>Calc!P35</f>
        <v>2.5802234787757104E-6</v>
      </c>
      <c r="F28" s="174">
        <f>Calc!S35</f>
        <v>387563.13103378378</v>
      </c>
      <c r="G28" s="173">
        <f>Calc!O35</f>
        <v>344998097970817.44</v>
      </c>
      <c r="H28" s="177">
        <f>Calc!X35</f>
        <v>0.61871743267472468</v>
      </c>
      <c r="I28" s="178">
        <f>Calc!Y35</f>
        <v>17.773925630183978</v>
      </c>
      <c r="J28" s="176">
        <f>Calc!AE35</f>
        <v>1655.9643445251845</v>
      </c>
    </row>
    <row r="29" spans="1:10" x14ac:dyDescent="0.2">
      <c r="A29" s="173">
        <f>Calc!A36</f>
        <v>2.7499999999999998E-3</v>
      </c>
      <c r="B29" s="173">
        <f>Calc!B36</f>
        <v>0.102365</v>
      </c>
      <c r="C29" s="173">
        <f>Calc!C36</f>
        <v>0.160057</v>
      </c>
      <c r="D29" s="173">
        <f>Calc!I36</f>
        <v>324925326092641.62</v>
      </c>
      <c r="E29" s="173">
        <f>Calc!P36</f>
        <v>2.5569826242435511E-6</v>
      </c>
      <c r="F29" s="174">
        <f>Calc!S36</f>
        <v>391085.78305920085</v>
      </c>
      <c r="G29" s="173">
        <f>Calc!O36</f>
        <v>324925326092641.62</v>
      </c>
      <c r="H29" s="177">
        <f>Calc!X36</f>
        <v>0.61709389976476658</v>
      </c>
      <c r="I29" s="178">
        <f>Calc!Y36</f>
        <v>16.891949225463431</v>
      </c>
      <c r="J29" s="176">
        <f>Calc!AE36</f>
        <v>1656.317975981837</v>
      </c>
    </row>
    <row r="30" spans="1:10" x14ac:dyDescent="0.2">
      <c r="A30" s="173">
        <f>Calc!A37</f>
        <v>2.8500000000000001E-3</v>
      </c>
      <c r="B30" s="173">
        <f>Calc!B37</f>
        <v>9.6568000000000001E-2</v>
      </c>
      <c r="C30" s="173">
        <f>Calc!C37</f>
        <v>0.15210799999999999</v>
      </c>
      <c r="D30" s="173">
        <f>Calc!I37</f>
        <v>306452484310061.25</v>
      </c>
      <c r="E30" s="173">
        <f>Calc!P37</f>
        <v>2.5376386555102025E-6</v>
      </c>
      <c r="F30" s="174">
        <f>Calc!S37</f>
        <v>394066.98121556191</v>
      </c>
      <c r="G30" s="173">
        <f>Calc!O37</f>
        <v>306452484310061.25</v>
      </c>
      <c r="H30" s="177">
        <f>Calc!X37</f>
        <v>0.61551303249605172</v>
      </c>
      <c r="I30" s="178">
        <f>Calc!Y37</f>
        <v>16.05304214384396</v>
      </c>
      <c r="J30" s="176">
        <f>Calc!AE37</f>
        <v>1656.6437380581253</v>
      </c>
    </row>
    <row r="31" spans="1:10" x14ac:dyDescent="0.2">
      <c r="A31" s="173">
        <f>Calc!A38</f>
        <v>2.9499999999999999E-3</v>
      </c>
      <c r="B31" s="173">
        <f>Calc!B38</f>
        <v>9.1153999999999999E-2</v>
      </c>
      <c r="C31" s="173">
        <f>Calc!C38</f>
        <v>0.14463300000000001</v>
      </c>
      <c r="D31" s="173">
        <f>Calc!I38</f>
        <v>289207935739265.19</v>
      </c>
      <c r="E31" s="173">
        <f>Calc!P38</f>
        <v>2.5186560893199197E-6</v>
      </c>
      <c r="F31" s="174">
        <f>Calc!S38</f>
        <v>397036.99704734911</v>
      </c>
      <c r="G31" s="173">
        <f>Calc!O38</f>
        <v>289207935739265.19</v>
      </c>
      <c r="H31" s="177">
        <f>Calc!X38</f>
        <v>0.61395290830063631</v>
      </c>
      <c r="I31" s="178">
        <f>Calc!Y38</f>
        <v>15.263893094801178</v>
      </c>
      <c r="J31" s="176">
        <f>Calc!AE38</f>
        <v>1656.9481148360248</v>
      </c>
    </row>
    <row r="32" spans="1:10" x14ac:dyDescent="0.2">
      <c r="A32" s="173">
        <f>Calc!A39</f>
        <v>3.0500000000000002E-3</v>
      </c>
      <c r="B32" s="173">
        <f>Calc!B39</f>
        <v>8.5628999999999997E-2</v>
      </c>
      <c r="C32" s="173">
        <f>Calc!C39</f>
        <v>0.13755500000000001</v>
      </c>
      <c r="D32" s="173">
        <f>Calc!I39</f>
        <v>271617616545011.16</v>
      </c>
      <c r="E32" s="173">
        <f>Calc!P39</f>
        <v>2.4872179346179369E-6</v>
      </c>
      <c r="F32" s="174">
        <f>Calc!S39</f>
        <v>402055.51812574535</v>
      </c>
      <c r="G32" s="173">
        <f>Calc!O39</f>
        <v>271617616545011.16</v>
      </c>
      <c r="H32" s="177">
        <f>Calc!X39</f>
        <v>0.61226694309671303</v>
      </c>
      <c r="I32" s="178">
        <f>Calc!Y39</f>
        <v>14.516705754788321</v>
      </c>
      <c r="J32" s="176">
        <f>Calc!AE39</f>
        <v>1657.2588691644557</v>
      </c>
    </row>
    <row r="33" spans="1:10" x14ac:dyDescent="0.2">
      <c r="A33" s="173">
        <f>Calc!A40</f>
        <v>3.15E-3</v>
      </c>
      <c r="B33" s="173">
        <f>Calc!B40</f>
        <v>8.0897999999999998E-2</v>
      </c>
      <c r="C33" s="173">
        <f>Calc!C40</f>
        <v>0.13086500000000001</v>
      </c>
      <c r="D33" s="173">
        <f>Calc!I40</f>
        <v>256561458454549.56</v>
      </c>
      <c r="E33" s="173">
        <f>Calc!P40</f>
        <v>2.4694980229580494E-6</v>
      </c>
      <c r="F33" s="174">
        <f>Calc!S40</f>
        <v>404940.48623142653</v>
      </c>
      <c r="G33" s="173">
        <f>Calc!O40</f>
        <v>256561458454549.56</v>
      </c>
      <c r="H33" s="177">
        <f>Calc!X40</f>
        <v>0.61073849590594054</v>
      </c>
      <c r="I33" s="178">
        <f>Calc!Y40</f>
        <v>13.810414503386347</v>
      </c>
      <c r="J33" s="176">
        <f>Calc!AE40</f>
        <v>1657.5250751647468</v>
      </c>
    </row>
    <row r="34" spans="1:10" x14ac:dyDescent="0.2">
      <c r="A34" s="173">
        <f>Calc!A41</f>
        <v>3.2499999999999999E-3</v>
      </c>
      <c r="B34" s="173">
        <f>Calc!B41</f>
        <v>7.6313000000000006E-2</v>
      </c>
      <c r="C34" s="173">
        <f>Calc!C41</f>
        <v>0.124558</v>
      </c>
      <c r="D34" s="173">
        <f>Calc!I41</f>
        <v>241975438867448</v>
      </c>
      <c r="E34" s="173">
        <f>Calc!P41</f>
        <v>2.447153433766068E-6</v>
      </c>
      <c r="F34" s="174">
        <f>Calc!S41</f>
        <v>408637.94985109469</v>
      </c>
      <c r="G34" s="173">
        <f>Calc!O41</f>
        <v>241975438867448</v>
      </c>
      <c r="H34" s="177">
        <f>Calc!X41</f>
        <v>0.60917321612449848</v>
      </c>
      <c r="I34" s="178">
        <f>Calc!Y41</f>
        <v>13.144197224281088</v>
      </c>
      <c r="J34" s="176">
        <f>Calc!AE41</f>
        <v>1657.7831632741031</v>
      </c>
    </row>
    <row r="35" spans="1:10" x14ac:dyDescent="0.2">
      <c r="A35" s="173">
        <f>Calc!A42</f>
        <v>3.3500000000000001E-3</v>
      </c>
      <c r="B35" s="173">
        <f>Calc!B42</f>
        <v>7.1972999999999995E-2</v>
      </c>
      <c r="C35" s="173">
        <f>Calc!C42</f>
        <v>0.11852500000000001</v>
      </c>
      <c r="D35" s="173">
        <f>Calc!I42</f>
        <v>228173813573934.72</v>
      </c>
      <c r="E35" s="173">
        <f>Calc!P42</f>
        <v>2.4251616743853841E-6</v>
      </c>
      <c r="F35" s="174">
        <f>Calc!S42</f>
        <v>412343.55670686968</v>
      </c>
      <c r="G35" s="173">
        <f>Calc!O42</f>
        <v>228173813573934.72</v>
      </c>
      <c r="H35" s="177">
        <f>Calc!X42</f>
        <v>0.60760606324180599</v>
      </c>
      <c r="I35" s="178">
        <f>Calc!Y42</f>
        <v>12.506882950844805</v>
      </c>
      <c r="J35" s="176">
        <f>Calc!AE42</f>
        <v>1658.0275488204957</v>
      </c>
    </row>
    <row r="36" spans="1:10" x14ac:dyDescent="0.2">
      <c r="A36" s="173">
        <f>Calc!A43</f>
        <v>3.4499999999999999E-3</v>
      </c>
      <c r="B36" s="173">
        <f>Calc!B43</f>
        <v>6.8136000000000002E-2</v>
      </c>
      <c r="C36" s="173">
        <f>Calc!C43</f>
        <v>0.11286499999999999</v>
      </c>
      <c r="D36" s="173">
        <f>Calc!I43</f>
        <v>215975818402537.47</v>
      </c>
      <c r="E36" s="173">
        <f>Calc!P43</f>
        <v>2.4106951742542968E-6</v>
      </c>
      <c r="F36" s="174">
        <f>Calc!S43</f>
        <v>414818.02594361553</v>
      </c>
      <c r="G36" s="173">
        <f>Calc!O43</f>
        <v>215975818402537.47</v>
      </c>
      <c r="H36" s="177">
        <f>Calc!X43</f>
        <v>0.60614288330609445</v>
      </c>
      <c r="I36" s="178">
        <f>Calc!Y43</f>
        <v>11.909315770450922</v>
      </c>
      <c r="J36" s="176">
        <f>Calc!AE43</f>
        <v>1658.2436821559661</v>
      </c>
    </row>
    <row r="37" spans="1:10" x14ac:dyDescent="0.2">
      <c r="A37" s="173">
        <f>Calc!A44</f>
        <v>3.5500000000000002E-3</v>
      </c>
      <c r="B37" s="173">
        <f>Calc!B44</f>
        <v>6.4881999999999995E-2</v>
      </c>
      <c r="C37" s="173">
        <f>Calc!C44</f>
        <v>0.10750999999999999</v>
      </c>
      <c r="D37" s="173">
        <f>Calc!I44</f>
        <v>205634178117005.5</v>
      </c>
      <c r="E37" s="173">
        <f>Calc!P44</f>
        <v>2.4096216319963183E-6</v>
      </c>
      <c r="F37" s="174">
        <f>Calc!S44</f>
        <v>415002.84425611218</v>
      </c>
      <c r="G37" s="173">
        <f>Calc!O44</f>
        <v>205634178117005.5</v>
      </c>
      <c r="H37" s="177">
        <f>Calc!X44</f>
        <v>0.60483838674990953</v>
      </c>
      <c r="I37" s="178">
        <f>Calc!Y44</f>
        <v>11.344109947021837</v>
      </c>
      <c r="J37" s="176">
        <f>Calc!AE44</f>
        <v>1658.4270286831772</v>
      </c>
    </row>
    <row r="38" spans="1:10" x14ac:dyDescent="0.2">
      <c r="A38" s="173">
        <f>Calc!A45</f>
        <v>3.65E-3</v>
      </c>
      <c r="B38" s="173">
        <f>Calc!B45</f>
        <v>6.1083999999999999E-2</v>
      </c>
      <c r="C38" s="173">
        <f>Calc!C45</f>
        <v>0.10236000000000001</v>
      </c>
      <c r="D38" s="173">
        <f>Calc!I45</f>
        <v>193567083682902.25</v>
      </c>
      <c r="E38" s="173">
        <f>Calc!P45</f>
        <v>2.3822483300092886E-6</v>
      </c>
      <c r="F38" s="174">
        <f>Calc!S45</f>
        <v>419771.45675104059</v>
      </c>
      <c r="G38" s="173">
        <f>Calc!O45</f>
        <v>193567083682902.25</v>
      </c>
      <c r="H38" s="177">
        <f>Calc!X45</f>
        <v>0.60323341866334046</v>
      </c>
      <c r="I38" s="178">
        <f>Calc!Y45</f>
        <v>10.801111677632303</v>
      </c>
      <c r="J38" s="176">
        <f>Calc!AE45</f>
        <v>1658.641088302827</v>
      </c>
    </row>
    <row r="39" spans="1:10" x14ac:dyDescent="0.2">
      <c r="A39" s="173">
        <f>Calc!A46</f>
        <v>3.7499999999999999E-3</v>
      </c>
      <c r="B39" s="173">
        <f>Calc!B46</f>
        <v>5.7793999999999998E-2</v>
      </c>
      <c r="C39" s="173">
        <f>Calc!C46</f>
        <v>9.7571000000000005E-2</v>
      </c>
      <c r="D39" s="173">
        <f>Calc!I46</f>
        <v>183117022051865.12</v>
      </c>
      <c r="E39" s="173">
        <f>Calc!P46</f>
        <v>2.3642290876801801E-6</v>
      </c>
      <c r="F39" s="174">
        <f>Calc!S46</f>
        <v>422970.79991578223</v>
      </c>
      <c r="G39" s="173">
        <f>Calc!O46</f>
        <v>183117022051865.12</v>
      </c>
      <c r="H39" s="177">
        <f>Calc!X46</f>
        <v>0.60176308255045829</v>
      </c>
      <c r="I39" s="178">
        <f>Calc!Y46</f>
        <v>10.295872159289841</v>
      </c>
      <c r="J39" s="176">
        <f>Calc!AE46</f>
        <v>1658.8265700246782</v>
      </c>
    </row>
    <row r="40" spans="1:10" x14ac:dyDescent="0.2">
      <c r="A40" s="173">
        <f>Calc!A47</f>
        <v>3.8500000000000001E-3</v>
      </c>
      <c r="B40" s="173">
        <f>Calc!B47</f>
        <v>5.4329000000000002E-2</v>
      </c>
      <c r="C40" s="173">
        <f>Calc!C47</f>
        <v>9.3012999999999998E-2</v>
      </c>
      <c r="D40" s="173">
        <f>Calc!I47</f>
        <v>172114120544161.41</v>
      </c>
      <c r="E40" s="173">
        <f>Calc!P47</f>
        <v>2.331116348298223E-6</v>
      </c>
      <c r="F40" s="174">
        <f>Calc!S47</f>
        <v>428978.96799455973</v>
      </c>
      <c r="G40" s="173">
        <f>Calc!O47</f>
        <v>172114120544161.41</v>
      </c>
      <c r="H40" s="177">
        <f>Calc!X47</f>
        <v>0.60012411754064465</v>
      </c>
      <c r="I40" s="178">
        <f>Calc!Y47</f>
        <v>9.8146887754138508</v>
      </c>
      <c r="J40" s="176">
        <f>Calc!AE47</f>
        <v>1659.0219716370691</v>
      </c>
    </row>
    <row r="41" spans="1:10" x14ac:dyDescent="0.2">
      <c r="A41" s="173">
        <f>Calc!A48</f>
        <v>3.9500000000000004E-3</v>
      </c>
      <c r="B41" s="173">
        <f>Calc!B48</f>
        <v>5.1597999999999998E-2</v>
      </c>
      <c r="C41" s="173">
        <f>Calc!C48</f>
        <v>8.8647000000000004E-2</v>
      </c>
      <c r="D41" s="173">
        <f>Calc!I48</f>
        <v>163444171688454</v>
      </c>
      <c r="E41" s="173">
        <f>Calc!P48</f>
        <v>2.3228173252422041E-6</v>
      </c>
      <c r="F41" s="174">
        <f>Calc!S48</f>
        <v>430511.64038043632</v>
      </c>
      <c r="G41" s="173">
        <f>Calc!O48</f>
        <v>163444171688454</v>
      </c>
      <c r="H41" s="177">
        <f>Calc!X48</f>
        <v>0.59875918952895724</v>
      </c>
      <c r="I41" s="178">
        <f>Calc!Y48</f>
        <v>9.3535907152261668</v>
      </c>
      <c r="J41" s="176">
        <f>Calc!AE48</f>
        <v>1659.176019792129</v>
      </c>
    </row>
    <row r="42" spans="1:10" x14ac:dyDescent="0.2">
      <c r="A42" s="173">
        <f>Calc!A49</f>
        <v>4.0499999999999998E-3</v>
      </c>
      <c r="B42" s="173">
        <f>Calc!B49</f>
        <v>4.8549000000000002E-2</v>
      </c>
      <c r="C42" s="173">
        <f>Calc!C49</f>
        <v>8.4544999999999995E-2</v>
      </c>
      <c r="D42" s="173">
        <f>Calc!I49</f>
        <v>153766956186726.56</v>
      </c>
      <c r="E42" s="173">
        <f>Calc!P49</f>
        <v>2.2913711281181531E-6</v>
      </c>
      <c r="F42" s="174">
        <f>Calc!S49</f>
        <v>436419.87881993846</v>
      </c>
      <c r="G42" s="173">
        <f>Calc!O49</f>
        <v>153766956186726.56</v>
      </c>
      <c r="H42" s="177">
        <f>Calc!X49</f>
        <v>0.59714976214846405</v>
      </c>
      <c r="I42" s="178">
        <f>Calc!Y49</f>
        <v>8.9205485607732289</v>
      </c>
      <c r="J42" s="176">
        <f>Calc!AE49</f>
        <v>1659.3480460940859</v>
      </c>
    </row>
    <row r="43" spans="1:10" x14ac:dyDescent="0.2">
      <c r="A43" s="173">
        <f>Calc!A50</f>
        <v>4.15E-3</v>
      </c>
      <c r="B43" s="173">
        <f>Calc!B50</f>
        <v>4.6254999999999998E-2</v>
      </c>
      <c r="C43" s="173">
        <f>Calc!C50</f>
        <v>8.0643000000000006E-2</v>
      </c>
      <c r="D43" s="173">
        <f>Calc!I50</f>
        <v>146487612355281.22</v>
      </c>
      <c r="E43" s="173">
        <f>Calc!P50</f>
        <v>2.2885338719655849E-6</v>
      </c>
      <c r="F43" s="174">
        <f>Calc!S50</f>
        <v>436960.94286799489</v>
      </c>
      <c r="G43" s="173">
        <f>Calc!O50</f>
        <v>146487612355281.22</v>
      </c>
      <c r="H43" s="177">
        <f>Calc!X50</f>
        <v>0.59587261837163008</v>
      </c>
      <c r="I43" s="178">
        <f>Calc!Y50</f>
        <v>8.5087847323006915</v>
      </c>
      <c r="J43" s="176">
        <f>Calc!AE50</f>
        <v>1659.4775031714989</v>
      </c>
    </row>
    <row r="44" spans="1:10" x14ac:dyDescent="0.2">
      <c r="A44" s="173">
        <f>Calc!A51</f>
        <v>4.2500000000000003E-3</v>
      </c>
      <c r="B44" s="173">
        <f>Calc!B51</f>
        <v>4.3496E-2</v>
      </c>
      <c r="C44" s="173">
        <f>Calc!C51</f>
        <v>7.6925999999999994E-2</v>
      </c>
      <c r="D44" s="173">
        <f>Calc!I51</f>
        <v>137734521344444.28</v>
      </c>
      <c r="E44" s="173">
        <f>Calc!P51</f>
        <v>2.2557812428887243E-6</v>
      </c>
      <c r="F44" s="174">
        <f>Calc!S51</f>
        <v>443305.3657638455</v>
      </c>
      <c r="G44" s="173">
        <f>Calc!O51</f>
        <v>137734521344444.28</v>
      </c>
      <c r="H44" s="177">
        <f>Calc!X51</f>
        <v>0.59425216132113667</v>
      </c>
      <c r="I44" s="178">
        <f>Calc!Y51</f>
        <v>8.1165188885494342</v>
      </c>
      <c r="J44" s="176">
        <f>Calc!AE51</f>
        <v>1659.6332337766642</v>
      </c>
    </row>
    <row r="45" spans="1:10" x14ac:dyDescent="0.2">
      <c r="A45" s="173">
        <f>Calc!A52</f>
        <v>4.3499999999999997E-3</v>
      </c>
      <c r="B45" s="173">
        <f>Calc!B52</f>
        <v>4.1305000000000001E-2</v>
      </c>
      <c r="C45" s="173">
        <f>Calc!C52</f>
        <v>7.3408000000000001E-2</v>
      </c>
      <c r="D45" s="173">
        <f>Calc!I52</f>
        <v>130784840781234.36</v>
      </c>
      <c r="E45" s="173">
        <f>Calc!P52</f>
        <v>2.2446084117573141E-6</v>
      </c>
      <c r="F45" s="174">
        <f>Calc!S52</f>
        <v>445511.97929630114</v>
      </c>
      <c r="G45" s="173">
        <f>Calc!O52</f>
        <v>130784840781234.36</v>
      </c>
      <c r="H45" s="177">
        <f>Calc!X52</f>
        <v>0.59289216156754654</v>
      </c>
      <c r="I45" s="178">
        <f>Calc!Y52</f>
        <v>7.7453456300007142</v>
      </c>
      <c r="J45" s="176">
        <f>Calc!AE52</f>
        <v>1659.7569289560965</v>
      </c>
    </row>
    <row r="46" spans="1:10" x14ac:dyDescent="0.2">
      <c r="A46" s="173">
        <f>Calc!A53</f>
        <v>4.45E-3</v>
      </c>
      <c r="B46" s="173">
        <f>Calc!B53</f>
        <v>3.8885999999999997E-2</v>
      </c>
      <c r="C46" s="173">
        <f>Calc!C53</f>
        <v>7.0049E-2</v>
      </c>
      <c r="D46" s="173">
        <f>Calc!I53</f>
        <v>123113398272654.2</v>
      </c>
      <c r="E46" s="173">
        <f>Calc!P53</f>
        <v>2.214495681217051E-6</v>
      </c>
      <c r="F46" s="174">
        <f>Calc!S53</f>
        <v>451570.05848512967</v>
      </c>
      <c r="G46" s="173">
        <f>Calc!O53</f>
        <v>123113398272654.2</v>
      </c>
      <c r="H46" s="177">
        <f>Calc!X53</f>
        <v>0.59130620209059803</v>
      </c>
      <c r="I46" s="178">
        <f>Calc!Y53</f>
        <v>7.3901705691275135</v>
      </c>
      <c r="J46" s="176">
        <f>Calc!AE53</f>
        <v>1659.8935219453151</v>
      </c>
    </row>
    <row r="47" spans="1:10" x14ac:dyDescent="0.2">
      <c r="A47" s="173">
        <f>Calc!A54</f>
        <v>4.5500000000000002E-3</v>
      </c>
      <c r="B47" s="173">
        <f>Calc!B54</f>
        <v>3.6958999999999999E-2</v>
      </c>
      <c r="C47" s="173">
        <f>Calc!C54</f>
        <v>6.6860000000000003E-2</v>
      </c>
      <c r="D47" s="173">
        <f>Calc!I54</f>
        <v>117003327740808.47</v>
      </c>
      <c r="E47" s="173">
        <f>Calc!P54</f>
        <v>2.2049239641345113E-6</v>
      </c>
      <c r="F47" s="174">
        <f>Calc!S54</f>
        <v>453530.35576696467</v>
      </c>
      <c r="G47" s="173">
        <f>Calc!O54</f>
        <v>117003327740808.47</v>
      </c>
      <c r="H47" s="177">
        <f>Calc!X54</f>
        <v>0.58997213054245368</v>
      </c>
      <c r="I47" s="178">
        <f>Calc!Y54</f>
        <v>7.0538882794981834</v>
      </c>
      <c r="J47" s="176">
        <f>Calc!AE54</f>
        <v>1660.0023527281392</v>
      </c>
    </row>
    <row r="48" spans="1:10" x14ac:dyDescent="0.2">
      <c r="A48" s="173">
        <f>Calc!A55</f>
        <v>4.6499999999999996E-3</v>
      </c>
      <c r="B48" s="173">
        <f>Calc!B55</f>
        <v>3.5503E-2</v>
      </c>
      <c r="C48" s="173">
        <f>Calc!C55</f>
        <v>6.3851000000000005E-2</v>
      </c>
      <c r="D48" s="173">
        <f>Calc!I55</f>
        <v>112387323458776.48</v>
      </c>
      <c r="E48" s="173">
        <f>Calc!P55</f>
        <v>2.2178357414027109E-6</v>
      </c>
      <c r="F48" s="174">
        <f>Calc!S55</f>
        <v>450889.99822208611</v>
      </c>
      <c r="G48" s="173">
        <f>Calc!O55</f>
        <v>112387323458776.48</v>
      </c>
      <c r="H48" s="177">
        <f>Calc!X55</f>
        <v>0.5889181436262958</v>
      </c>
      <c r="I48" s="178">
        <f>Calc!Y55</f>
        <v>6.7361528181712718</v>
      </c>
      <c r="J48" s="176">
        <f>Calc!AE55</f>
        <v>1660.0845943713807</v>
      </c>
    </row>
    <row r="49" spans="1:10" x14ac:dyDescent="0.2">
      <c r="A49" s="173">
        <f>Calc!A56</f>
        <v>4.7499999999999999E-3</v>
      </c>
      <c r="B49" s="173">
        <f>Calc!B56</f>
        <v>3.3105000000000002E-2</v>
      </c>
      <c r="C49" s="173">
        <f>Calc!C56</f>
        <v>6.0983999999999997E-2</v>
      </c>
      <c r="D49" s="173">
        <f>Calc!I56</f>
        <v>104786056125410.87</v>
      </c>
      <c r="E49" s="173">
        <f>Calc!P56</f>
        <v>2.1649706102317223E-6</v>
      </c>
      <c r="F49" s="174">
        <f>Calc!S56</f>
        <v>461900.01647738705</v>
      </c>
      <c r="G49" s="173">
        <f>Calc!O56</f>
        <v>104786056125410.87</v>
      </c>
      <c r="H49" s="177">
        <f>Calc!X56</f>
        <v>0.58708620395393007</v>
      </c>
      <c r="I49" s="178">
        <f>Calc!Y56</f>
        <v>6.4339172442284669</v>
      </c>
      <c r="J49" s="176">
        <f>Calc!AE56</f>
        <v>1660.2200660150061</v>
      </c>
    </row>
    <row r="50" spans="1:10" x14ac:dyDescent="0.2">
      <c r="A50" s="173">
        <f>Calc!A57</f>
        <v>4.8500000000000001E-3</v>
      </c>
      <c r="B50" s="173">
        <f>Calc!B57</f>
        <v>3.1696000000000002E-2</v>
      </c>
      <c r="C50" s="173">
        <f>Calc!C57</f>
        <v>5.8247E-2</v>
      </c>
      <c r="D50" s="173">
        <f>Calc!I57</f>
        <v>100320447687320.59</v>
      </c>
      <c r="E50" s="173">
        <f>Calc!P57</f>
        <v>2.1699253116888692E-6</v>
      </c>
      <c r="F50" s="174">
        <f>Calc!S57</f>
        <v>460845.33802212158</v>
      </c>
      <c r="G50" s="173">
        <f>Calc!O57</f>
        <v>100320447687320.59</v>
      </c>
      <c r="H50" s="177">
        <f>Calc!X57</f>
        <v>0.58594805145088202</v>
      </c>
      <c r="I50" s="178">
        <f>Calc!Y57</f>
        <v>6.1456617916483074</v>
      </c>
      <c r="J50" s="176">
        <f>Calc!AE57</f>
        <v>1660.2996779596917</v>
      </c>
    </row>
    <row r="51" spans="1:10" x14ac:dyDescent="0.2">
      <c r="A51" s="173">
        <f>Calc!A58</f>
        <v>4.9500000000000004E-3</v>
      </c>
      <c r="B51" s="173">
        <f>Calc!B58</f>
        <v>2.9884000000000001E-2</v>
      </c>
      <c r="C51" s="173">
        <f>Calc!C58</f>
        <v>5.5627000000000003E-2</v>
      </c>
      <c r="D51" s="173">
        <f>Calc!I58</f>
        <v>94578344515022.641</v>
      </c>
      <c r="E51" s="173">
        <f>Calc!P58</f>
        <v>2.142293511977571E-6</v>
      </c>
      <c r="F51" s="174">
        <f>Calc!S58</f>
        <v>466789.43039247324</v>
      </c>
      <c r="G51" s="173">
        <f>Calc!O58</f>
        <v>94578344515022.641</v>
      </c>
      <c r="H51" s="177">
        <f>Calc!X58</f>
        <v>0.58440898926122831</v>
      </c>
      <c r="I51" s="178">
        <f>Calc!Y58</f>
        <v>5.8686298205692067</v>
      </c>
      <c r="J51" s="176">
        <f>Calc!AE58</f>
        <v>1660.402073966206</v>
      </c>
    </row>
    <row r="52" spans="1:10" x14ac:dyDescent="0.2">
      <c r="A52" s="173">
        <f>Calc!A59</f>
        <v>5.0499999999999998E-3</v>
      </c>
      <c r="B52" s="173">
        <f>Calc!B59</f>
        <v>2.794E-2</v>
      </c>
      <c r="C52" s="173">
        <f>Calc!C59</f>
        <v>5.3162000000000001E-2</v>
      </c>
      <c r="D52" s="173">
        <f>Calc!I59</f>
        <v>88418882825678.047</v>
      </c>
      <c r="E52" s="173">
        <f>Calc!P59</f>
        <v>2.095463627403407E-6</v>
      </c>
      <c r="F52" s="174">
        <f>Calc!S59</f>
        <v>477221.34602012916</v>
      </c>
      <c r="G52" s="173">
        <f>Calc!O59</f>
        <v>88418882825678.047</v>
      </c>
      <c r="H52" s="177">
        <f>Calc!X59</f>
        <v>0.58265224608439914</v>
      </c>
      <c r="I52" s="178">
        <f>Calc!Y59</f>
        <v>5.609044391312267</v>
      </c>
      <c r="J52" s="176">
        <f>Calc!AE59</f>
        <v>1660.5119462819707</v>
      </c>
    </row>
    <row r="53" spans="1:10" x14ac:dyDescent="0.2">
      <c r="A53" s="173">
        <f>Calc!A60</f>
        <v>5.1500000000000001E-3</v>
      </c>
      <c r="B53" s="173">
        <f>Calc!B60</f>
        <v>2.6927E-2</v>
      </c>
      <c r="C53" s="173">
        <f>Calc!C60</f>
        <v>5.0805999999999997E-2</v>
      </c>
      <c r="D53" s="173">
        <f>Calc!I60</f>
        <v>85209631425607.297</v>
      </c>
      <c r="E53" s="173">
        <f>Calc!P60</f>
        <v>2.1131209606635668E-6</v>
      </c>
      <c r="F53" s="174">
        <f>Calc!S60</f>
        <v>473233.66392480413</v>
      </c>
      <c r="G53" s="173">
        <f>Calc!O60</f>
        <v>85209631425607.297</v>
      </c>
      <c r="H53" s="177">
        <f>Calc!X60</f>
        <v>0.5816885355084801</v>
      </c>
      <c r="I53" s="178">
        <f>Calc!Y60</f>
        <v>5.3602902862933011</v>
      </c>
      <c r="J53" s="176">
        <f>Calc!AE60</f>
        <v>1660.5692066836305</v>
      </c>
    </row>
    <row r="54" spans="1:10" x14ac:dyDescent="0.2">
      <c r="A54" s="173">
        <f>Calc!A61</f>
        <v>5.2500000000000003E-3</v>
      </c>
      <c r="B54" s="173">
        <f>Calc!B61</f>
        <v>2.4915E-2</v>
      </c>
      <c r="C54" s="173">
        <f>Calc!C61</f>
        <v>4.8571999999999997E-2</v>
      </c>
      <c r="D54" s="173">
        <f>Calc!I61</f>
        <v>78836265420938.016</v>
      </c>
      <c r="E54" s="173">
        <f>Calc!P61</f>
        <v>2.0452679287547773E-6</v>
      </c>
      <c r="F54" s="174">
        <f>Calc!S61</f>
        <v>488933.486336665</v>
      </c>
      <c r="G54" s="173">
        <f>Calc!O61</f>
        <v>78836265420938.016</v>
      </c>
      <c r="H54" s="177">
        <f>Calc!X61</f>
        <v>0.57966368639258015</v>
      </c>
      <c r="I54" s="178">
        <f>Calc!Y61</f>
        <v>5.1238902077425807</v>
      </c>
      <c r="J54" s="176">
        <f>Calc!AE61</f>
        <v>1660.6829503171102</v>
      </c>
    </row>
    <row r="55" spans="1:10" x14ac:dyDescent="0.2">
      <c r="A55" s="173">
        <f>Calc!A62</f>
        <v>5.3499999999999997E-3</v>
      </c>
      <c r="B55" s="173">
        <f>Calc!B62</f>
        <v>2.3710999999999999E-2</v>
      </c>
      <c r="C55" s="173">
        <f>Calc!C62</f>
        <v>4.6434999999999997E-2</v>
      </c>
      <c r="D55" s="173">
        <f>Calc!I62</f>
        <v>75022881074222.219</v>
      </c>
      <c r="E55" s="173">
        <f>Calc!P62</f>
        <v>2.0358173375232294E-6</v>
      </c>
      <c r="F55" s="174">
        <f>Calc!S62</f>
        <v>491203.19517248665</v>
      </c>
      <c r="G55" s="173">
        <f>Calc!O62</f>
        <v>75022881074222.219</v>
      </c>
      <c r="H55" s="177">
        <f>Calc!X62</f>
        <v>0.57837340488671107</v>
      </c>
      <c r="I55" s="178">
        <f>Calc!Y62</f>
        <v>4.8986781909162938</v>
      </c>
      <c r="J55" s="176">
        <f>Calc!AE62</f>
        <v>1660.7510246247041</v>
      </c>
    </row>
    <row r="56" spans="1:10" x14ac:dyDescent="0.2">
      <c r="A56" s="173">
        <f>Calc!A63</f>
        <v>5.45E-3</v>
      </c>
      <c r="B56" s="173">
        <f>Calc!B63</f>
        <v>2.3033000000000001E-2</v>
      </c>
      <c r="C56" s="173">
        <f>Calc!C63</f>
        <v>4.4408999999999997E-2</v>
      </c>
      <c r="D56" s="173">
        <f>Calc!I63</f>
        <v>72875641270129.312</v>
      </c>
      <c r="E56" s="173">
        <f>Calc!P63</f>
        <v>2.0679376010898707E-6</v>
      </c>
      <c r="F56" s="174">
        <f>Calc!S63</f>
        <v>483573.57651506289</v>
      </c>
      <c r="G56" s="173">
        <f>Calc!O63</f>
        <v>72875641270129.312</v>
      </c>
      <c r="H56" s="177">
        <f>Calc!X63</f>
        <v>0.57761806439224006</v>
      </c>
      <c r="I56" s="178">
        <f>Calc!Y63</f>
        <v>4.6845614482408457</v>
      </c>
      <c r="J56" s="176">
        <f>Calc!AE63</f>
        <v>1660.7893618058501</v>
      </c>
    </row>
    <row r="57" spans="1:10" x14ac:dyDescent="0.2">
      <c r="A57" s="173">
        <f>Calc!A64</f>
        <v>5.5500000000000002E-3</v>
      </c>
      <c r="B57" s="173">
        <f>Calc!B64</f>
        <v>2.1375999999999999E-2</v>
      </c>
      <c r="C57" s="173">
        <f>Calc!C64</f>
        <v>4.2444000000000003E-2</v>
      </c>
      <c r="D57" s="173">
        <f>Calc!I64</f>
        <v>67628386842523.773</v>
      </c>
      <c r="E57" s="173">
        <f>Calc!P64</f>
        <v>2.007724149818206E-6</v>
      </c>
      <c r="F57" s="174">
        <f>Calc!S64</f>
        <v>498076.38407276041</v>
      </c>
      <c r="G57" s="173">
        <f>Calc!O64</f>
        <v>67628386842523.773</v>
      </c>
      <c r="H57" s="177">
        <f>Calc!X64</f>
        <v>0.57567550804153311</v>
      </c>
      <c r="I57" s="178">
        <f>Calc!Y64</f>
        <v>4.4776378596267916</v>
      </c>
      <c r="J57" s="176">
        <f>Calc!AE64</f>
        <v>1660.883065101792</v>
      </c>
    </row>
    <row r="58" spans="1:10" x14ac:dyDescent="0.2">
      <c r="A58" s="173">
        <f>Calc!A65</f>
        <v>5.6499999999999996E-3</v>
      </c>
      <c r="B58" s="173">
        <f>Calc!B65</f>
        <v>2.0327999999999999E-2</v>
      </c>
      <c r="C58" s="173">
        <f>Calc!C65</f>
        <v>4.0562000000000001E-2</v>
      </c>
      <c r="D58" s="173">
        <f>Calc!I65</f>
        <v>64310029775413.234</v>
      </c>
      <c r="E58" s="173">
        <f>Calc!P65</f>
        <v>1.997732600659815E-6</v>
      </c>
      <c r="F58" s="174">
        <f>Calc!S65</f>
        <v>500567.48633650731</v>
      </c>
      <c r="G58" s="173">
        <f>Calc!O65</f>
        <v>64310029775413.234</v>
      </c>
      <c r="H58" s="177">
        <f>Calc!X65</f>
        <v>0.57436853950265676</v>
      </c>
      <c r="I58" s="178">
        <f>Calc!Y65</f>
        <v>4.2792270927048204</v>
      </c>
      <c r="J58" s="176">
        <f>Calc!AE65</f>
        <v>1660.9423360904145</v>
      </c>
    </row>
    <row r="59" spans="1:10" x14ac:dyDescent="0.2">
      <c r="A59" s="173">
        <f>Calc!A66</f>
        <v>5.7499999999999999E-3</v>
      </c>
      <c r="B59" s="173">
        <f>Calc!B66</f>
        <v>1.9137999999999999E-2</v>
      </c>
      <c r="C59" s="173">
        <f>Calc!C66</f>
        <v>3.8814000000000001E-2</v>
      </c>
      <c r="D59" s="173">
        <f>Calc!I66</f>
        <v>60542390994009.344</v>
      </c>
      <c r="E59" s="173">
        <f>Calc!P66</f>
        <v>1.9657860247356532E-6</v>
      </c>
      <c r="F59" s="174">
        <f>Calc!S66</f>
        <v>508702.35898313735</v>
      </c>
      <c r="G59" s="173">
        <f>Calc!O66</f>
        <v>60542390994009.344</v>
      </c>
      <c r="H59" s="177">
        <f>Calc!X66</f>
        <v>0.57280117411216303</v>
      </c>
      <c r="I59" s="178">
        <f>Calc!Y66</f>
        <v>4.09399498153679</v>
      </c>
      <c r="J59" s="176">
        <f>Calc!AE66</f>
        <v>1661.0096442971412</v>
      </c>
    </row>
    <row r="60" spans="1:10" x14ac:dyDescent="0.2">
      <c r="A60" s="173">
        <f>Calc!A67</f>
        <v>5.8500000000000002E-3</v>
      </c>
      <c r="B60" s="173">
        <f>Calc!B67</f>
        <v>1.8332999999999999E-2</v>
      </c>
      <c r="C60" s="173">
        <f>Calc!C67</f>
        <v>3.7142000000000001E-2</v>
      </c>
      <c r="D60" s="173">
        <f>Calc!I67</f>
        <v>57993901009145.945</v>
      </c>
      <c r="E60" s="173">
        <f>Calc!P67</f>
        <v>1.9678716100161008E-6</v>
      </c>
      <c r="F60" s="174">
        <f>Calc!S67</f>
        <v>508163.22768387408</v>
      </c>
      <c r="G60" s="173">
        <f>Calc!O67</f>
        <v>57993901009145.945</v>
      </c>
      <c r="H60" s="177">
        <f>Calc!X67</f>
        <v>0.57168524289573353</v>
      </c>
      <c r="I60" s="178">
        <f>Calc!Y67</f>
        <v>3.9175048543983042</v>
      </c>
      <c r="J60" s="176">
        <f>Calc!AE67</f>
        <v>1661.0551800750143</v>
      </c>
    </row>
    <row r="61" spans="1:10" x14ac:dyDescent="0.2">
      <c r="A61" s="173">
        <f>Calc!A68</f>
        <v>5.9500000000000004E-3</v>
      </c>
      <c r="B61" s="173">
        <f>Calc!B68</f>
        <v>1.7780000000000001E-2</v>
      </c>
      <c r="C61" s="173">
        <f>Calc!C68</f>
        <v>3.5524E-2</v>
      </c>
      <c r="D61" s="173">
        <f>Calc!I68</f>
        <v>56243295913538.57</v>
      </c>
      <c r="E61" s="173">
        <f>Calc!P68</f>
        <v>1.9954472354702718E-6</v>
      </c>
      <c r="F61" s="174">
        <f>Calc!S68</f>
        <v>501140.78275091597</v>
      </c>
      <c r="G61" s="173">
        <f>Calc!O68</f>
        <v>56243295913538.57</v>
      </c>
      <c r="H61" s="177">
        <f>Calc!X68</f>
        <v>0.57089018533970926</v>
      </c>
      <c r="I61" s="178">
        <f>Calc!Y68</f>
        <v>3.7467480942983928</v>
      </c>
      <c r="J61" s="176">
        <f>Calc!AE68</f>
        <v>1661.0864629314453</v>
      </c>
    </row>
    <row r="62" spans="1:10" x14ac:dyDescent="0.2">
      <c r="A62" s="173">
        <f>Calc!A69</f>
        <v>6.0499999999999998E-3</v>
      </c>
      <c r="B62" s="173">
        <f>Calc!B69</f>
        <v>1.6768000000000002E-2</v>
      </c>
      <c r="C62" s="173">
        <f>Calc!C69</f>
        <v>3.4000000000000002E-2</v>
      </c>
      <c r="D62" s="173">
        <f>Calc!I69</f>
        <v>53039860911835.219</v>
      </c>
      <c r="E62" s="173">
        <f>Calc!P69</f>
        <v>1.9658401674932891E-6</v>
      </c>
      <c r="F62" s="174">
        <f>Calc!S69</f>
        <v>508688.34982385492</v>
      </c>
      <c r="G62" s="173">
        <f>Calc!O69</f>
        <v>53039860911835.219</v>
      </c>
      <c r="H62" s="177">
        <f>Calc!X69</f>
        <v>0.56936966922128973</v>
      </c>
      <c r="I62" s="178">
        <f>Calc!Y69</f>
        <v>3.5865604293028084</v>
      </c>
      <c r="J62" s="176">
        <f>Calc!AE69</f>
        <v>1661.1437148308146</v>
      </c>
    </row>
    <row r="63" spans="1:10" x14ac:dyDescent="0.2">
      <c r="A63" s="173">
        <f>Calc!A70</f>
        <v>6.1500000000000001E-3</v>
      </c>
      <c r="B63" s="173">
        <f>Calc!B70</f>
        <v>1.5984999999999999E-2</v>
      </c>
      <c r="C63" s="173">
        <f>Calc!C70</f>
        <v>3.2597000000000001E-2</v>
      </c>
      <c r="D63" s="173">
        <f>Calc!I70</f>
        <v>50561494886832.953</v>
      </c>
      <c r="E63" s="173">
        <f>Calc!P70</f>
        <v>1.9544355651117906E-6</v>
      </c>
      <c r="F63" s="174">
        <f>Calc!S70</f>
        <v>511656.66935082705</v>
      </c>
      <c r="G63" s="173">
        <f>Calc!O70</f>
        <v>50561494886832.953</v>
      </c>
      <c r="H63" s="177">
        <f>Calc!X70</f>
        <v>0.5681294987036738</v>
      </c>
      <c r="I63" s="178">
        <f>Calc!Y70</f>
        <v>3.4389236150850078</v>
      </c>
      <c r="J63" s="176">
        <f>Calc!AE70</f>
        <v>1661.188014798171</v>
      </c>
    </row>
    <row r="64" spans="1:10" x14ac:dyDescent="0.2">
      <c r="A64" s="173">
        <f>Calc!A71</f>
        <v>6.2500000000000003E-3</v>
      </c>
      <c r="B64" s="173">
        <f>Calc!B71</f>
        <v>1.481E-2</v>
      </c>
      <c r="C64" s="173">
        <f>Calc!C71</f>
        <v>3.1192000000000001E-2</v>
      </c>
      <c r="D64" s="173">
        <f>Calc!I71</f>
        <v>46842659548503.156</v>
      </c>
      <c r="E64" s="173">
        <f>Calc!P71</f>
        <v>1.8922940953121849E-6</v>
      </c>
      <c r="F64" s="174">
        <f>Calc!S71</f>
        <v>528459.07810248423</v>
      </c>
      <c r="G64" s="173">
        <f>Calc!O71</f>
        <v>46842659548503.156</v>
      </c>
      <c r="H64" s="177">
        <f>Calc!X71</f>
        <v>0.56615064659924064</v>
      </c>
      <c r="I64" s="178">
        <f>Calc!Y71</f>
        <v>3.2906136218661319</v>
      </c>
      <c r="J64" s="176">
        <f>Calc!AE71</f>
        <v>1661.2544984260151</v>
      </c>
    </row>
    <row r="65" spans="1:10" x14ac:dyDescent="0.2">
      <c r="A65" s="173">
        <f>Calc!A72</f>
        <v>6.3499999999999997E-3</v>
      </c>
      <c r="B65" s="173">
        <f>Calc!B72</f>
        <v>1.4090999999999999E-2</v>
      </c>
      <c r="C65" s="173">
        <f>Calc!C72</f>
        <v>2.9866E-2</v>
      </c>
      <c r="D65" s="173">
        <f>Calc!I72</f>
        <v>44567224207270.328</v>
      </c>
      <c r="E65" s="173">
        <f>Calc!P72</f>
        <v>1.8804941897757028E-6</v>
      </c>
      <c r="F65" s="174">
        <f>Calc!S72</f>
        <v>531775.10424480296</v>
      </c>
      <c r="G65" s="173">
        <f>Calc!O72</f>
        <v>44567224207270.328</v>
      </c>
      <c r="H65" s="177">
        <f>Calc!X72</f>
        <v>0.56486145624451845</v>
      </c>
      <c r="I65" s="178">
        <f>Calc!Y72</f>
        <v>3.150413577023679</v>
      </c>
      <c r="J65" s="176">
        <f>Calc!AE72</f>
        <v>1661.2951839386601</v>
      </c>
    </row>
    <row r="66" spans="1:10" x14ac:dyDescent="0.2">
      <c r="A66" s="173">
        <f>Calc!A73</f>
        <v>6.45E-3</v>
      </c>
      <c r="B66" s="173">
        <f>Calc!B73</f>
        <v>1.3349E-2</v>
      </c>
      <c r="C66" s="173">
        <f>Calc!C73</f>
        <v>2.8577999999999999E-2</v>
      </c>
      <c r="D66" s="173">
        <f>Calc!I73</f>
        <v>42219139873242.008</v>
      </c>
      <c r="E66" s="173">
        <f>Calc!P73</f>
        <v>1.8617963581151736E-6</v>
      </c>
      <c r="F66" s="174">
        <f>Calc!S73</f>
        <v>537115.6679581994</v>
      </c>
      <c r="G66" s="173">
        <f>Calc!O73</f>
        <v>42219139873242.008</v>
      </c>
      <c r="H66" s="177">
        <f>Calc!X73</f>
        <v>0.56346072153252191</v>
      </c>
      <c r="I66" s="178">
        <f>Calc!Y73</f>
        <v>3.0144021125508798</v>
      </c>
      <c r="J66" s="176">
        <f>Calc!AE73</f>
        <v>1661.3371734758841</v>
      </c>
    </row>
    <row r="67" spans="1:10" x14ac:dyDescent="0.2">
      <c r="A67" s="173">
        <f>Calc!A74</f>
        <v>6.5500000000000003E-3</v>
      </c>
      <c r="B67" s="173">
        <f>Calc!B74</f>
        <v>1.2907E-2</v>
      </c>
      <c r="C67" s="173">
        <f>Calc!C74</f>
        <v>2.7355000000000001E-2</v>
      </c>
      <c r="D67" s="173">
        <f>Calc!I74</f>
        <v>40820483183495.492</v>
      </c>
      <c r="E67" s="173">
        <f>Calc!P74</f>
        <v>1.8805825390222919E-6</v>
      </c>
      <c r="F67" s="174">
        <f>Calc!S74</f>
        <v>531750.12212867779</v>
      </c>
      <c r="G67" s="173">
        <f>Calc!O74</f>
        <v>40820483183495.492</v>
      </c>
      <c r="H67" s="177">
        <f>Calc!X74</f>
        <v>0.5625891188504597</v>
      </c>
      <c r="I67" s="178">
        <f>Calc!Y74</f>
        <v>2.8854245484426353</v>
      </c>
      <c r="J67" s="176">
        <f>Calc!AE74</f>
        <v>1661.3621873382003</v>
      </c>
    </row>
    <row r="68" spans="1:10" x14ac:dyDescent="0.2">
      <c r="A68" s="173">
        <f>Calc!A75</f>
        <v>6.6499999999999997E-3</v>
      </c>
      <c r="B68" s="173">
        <f>Calc!B75</f>
        <v>1.1932E-2</v>
      </c>
      <c r="C68" s="173">
        <f>Calc!C75</f>
        <v>2.6193999999999999E-2</v>
      </c>
      <c r="D68" s="173">
        <f>Calc!I75</f>
        <v>37735389012294.234</v>
      </c>
      <c r="E68" s="173">
        <f>Calc!P75</f>
        <v>1.8155898524336651E-6</v>
      </c>
      <c r="F68" s="174">
        <f>Calc!S75</f>
        <v>550785.18662567495</v>
      </c>
      <c r="G68" s="173">
        <f>Calc!O75</f>
        <v>37735389012294.234</v>
      </c>
      <c r="H68" s="177">
        <f>Calc!X75</f>
        <v>0.56055676060922599</v>
      </c>
      <c r="I68" s="178">
        <f>Calc!Y75</f>
        <v>2.7628357401244963</v>
      </c>
      <c r="J68" s="176">
        <f>Calc!AE75</f>
        <v>1661.41736821576</v>
      </c>
    </row>
    <row r="69" spans="1:10" x14ac:dyDescent="0.2">
      <c r="A69" s="173">
        <f>Calc!A76</f>
        <v>6.7499999999999999E-3</v>
      </c>
      <c r="B69" s="173">
        <f>Calc!B76</f>
        <v>1.1449000000000001E-2</v>
      </c>
      <c r="C69" s="173">
        <f>Calc!C76</f>
        <v>2.5061E-2</v>
      </c>
      <c r="D69" s="173">
        <f>Calc!I76</f>
        <v>36207171521484.844</v>
      </c>
      <c r="E69" s="173">
        <f>Calc!P76</f>
        <v>1.8205933674675162E-6</v>
      </c>
      <c r="F69" s="174">
        <f>Calc!S76</f>
        <v>549271.47044870304</v>
      </c>
      <c r="G69" s="173">
        <f>Calc!O76</f>
        <v>36207171521484.844</v>
      </c>
      <c r="H69" s="177">
        <f>Calc!X76</f>
        <v>0.55948802000348175</v>
      </c>
      <c r="I69" s="178">
        <f>Calc!Y76</f>
        <v>2.6436601451778565</v>
      </c>
      <c r="J69" s="176">
        <f>Calc!AE76</f>
        <v>1661.4447056255583</v>
      </c>
    </row>
    <row r="70" spans="1:10" x14ac:dyDescent="0.2">
      <c r="A70" s="173">
        <f>Calc!A77</f>
        <v>6.8500000000000002E-3</v>
      </c>
      <c r="B70" s="173">
        <f>Calc!B77</f>
        <v>1.1018999999999999E-2</v>
      </c>
      <c r="C70" s="173">
        <f>Calc!C77</f>
        <v>2.3996E-2</v>
      </c>
      <c r="D70" s="173">
        <f>Calc!I77</f>
        <v>34846697196519.297</v>
      </c>
      <c r="E70" s="173">
        <f>Calc!P77</f>
        <v>1.8301173902307047E-6</v>
      </c>
      <c r="F70" s="174">
        <f>Calc!S77</f>
        <v>546413.03429444274</v>
      </c>
      <c r="G70" s="173">
        <f>Calc!O77</f>
        <v>34846697196519.297</v>
      </c>
      <c r="H70" s="177">
        <f>Calc!X77</f>
        <v>0.55849816857063883</v>
      </c>
      <c r="I70" s="178">
        <f>Calc!Y77</f>
        <v>2.5310845590876734</v>
      </c>
      <c r="J70" s="176">
        <f>Calc!AE77</f>
        <v>1661.4690441993914</v>
      </c>
    </row>
    <row r="71" spans="1:10" x14ac:dyDescent="0.2">
      <c r="A71" s="173">
        <f>Calc!A78</f>
        <v>6.9499999999999996E-3</v>
      </c>
      <c r="B71" s="173">
        <f>Calc!B78</f>
        <v>1.0045999999999999E-2</v>
      </c>
      <c r="C71" s="173">
        <f>Calc!C78</f>
        <v>2.2984999999999998E-2</v>
      </c>
      <c r="D71" s="173">
        <f>Calc!I78</f>
        <v>31768404369229.223</v>
      </c>
      <c r="E71" s="173">
        <f>Calc!P78</f>
        <v>1.7418036832746762E-6</v>
      </c>
      <c r="F71" s="174">
        <f>Calc!S78</f>
        <v>574117.5120274548</v>
      </c>
      <c r="G71" s="173">
        <f>Calc!O78</f>
        <v>31768404369229.223</v>
      </c>
      <c r="H71" s="177">
        <f>Calc!X78</f>
        <v>0.55610872256674815</v>
      </c>
      <c r="I71" s="178">
        <f>Calc!Y78</f>
        <v>2.4244887774681634</v>
      </c>
      <c r="J71" s="176">
        <f>Calc!AE78</f>
        <v>1661.5241205020002</v>
      </c>
    </row>
    <row r="72" spans="1:10" x14ac:dyDescent="0.2">
      <c r="A72" s="173">
        <f>Calc!A79</f>
        <v>7.0499999999999998E-3</v>
      </c>
      <c r="B72" s="173">
        <f>Calc!B79</f>
        <v>9.7300000000000008E-3</v>
      </c>
      <c r="C72" s="173">
        <f>Calc!C79</f>
        <v>2.1992000000000001E-2</v>
      </c>
      <c r="D72" s="173">
        <f>Calc!I79</f>
        <v>30768723496900.984</v>
      </c>
      <c r="E72" s="173">
        <f>Calc!P79</f>
        <v>1.7633093966600264E-6</v>
      </c>
      <c r="F72" s="174">
        <f>Calc!S79</f>
        <v>567115.447307789</v>
      </c>
      <c r="G72" s="173">
        <f>Calc!O79</f>
        <v>30768723496900.984</v>
      </c>
      <c r="H72" s="177">
        <f>Calc!X79</f>
        <v>0.55528294461579863</v>
      </c>
      <c r="I72" s="178">
        <f>Calc!Y79</f>
        <v>2.3195564053684423</v>
      </c>
      <c r="J72" s="176">
        <f>Calc!AE79</f>
        <v>1661.5420085205983</v>
      </c>
    </row>
    <row r="73" spans="1:10" x14ac:dyDescent="0.2">
      <c r="A73" s="173">
        <f>Calc!A80</f>
        <v>7.1500000000000001E-3</v>
      </c>
      <c r="B73" s="173">
        <f>Calc!B80</f>
        <v>9.2599999999999991E-3</v>
      </c>
      <c r="C73" s="173">
        <f>Calc!C80</f>
        <v>2.1072E-2</v>
      </c>
      <c r="D73" s="173">
        <f>Calc!I80</f>
        <v>29281903955985.262</v>
      </c>
      <c r="E73" s="173">
        <f>Calc!P80</f>
        <v>1.7515022913274452E-6</v>
      </c>
      <c r="F73" s="174">
        <f>Calc!S80</f>
        <v>570938.44664578675</v>
      </c>
      <c r="G73" s="173">
        <f>Calc!O80</f>
        <v>29281903955985.262</v>
      </c>
      <c r="H73" s="177">
        <f>Calc!X80</f>
        <v>0.55400403174610369</v>
      </c>
      <c r="I73" s="178">
        <f>Calc!Y80</f>
        <v>2.2223506410618268</v>
      </c>
      <c r="J73" s="176">
        <f>Calc!AE80</f>
        <v>1661.568614985405</v>
      </c>
    </row>
    <row r="74" spans="1:10" x14ac:dyDescent="0.2">
      <c r="A74" s="173">
        <f>Calc!A81</f>
        <v>7.2500000000000004E-3</v>
      </c>
      <c r="B74" s="173">
        <f>Calc!B81</f>
        <v>8.9259999999999999E-3</v>
      </c>
      <c r="C74" s="173">
        <f>Calc!C81</f>
        <v>2.0187E-2</v>
      </c>
      <c r="D74" s="173">
        <f>Calc!I81</f>
        <v>28225347634209.418</v>
      </c>
      <c r="E74" s="173">
        <f>Calc!P81</f>
        <v>1.7624574673100287E-6</v>
      </c>
      <c r="F74" s="174">
        <f>Calc!S81</f>
        <v>567389.57746053301</v>
      </c>
      <c r="G74" s="173">
        <f>Calc!O81</f>
        <v>28225347634209.418</v>
      </c>
      <c r="H74" s="177">
        <f>Calc!X81</f>
        <v>0.55305531326517254</v>
      </c>
      <c r="I74" s="178">
        <f>Calc!Y81</f>
        <v>2.1288479081491931</v>
      </c>
      <c r="J74" s="176">
        <f>Calc!AE81</f>
        <v>1661.5875231889843</v>
      </c>
    </row>
    <row r="75" spans="1:10" x14ac:dyDescent="0.2">
      <c r="A75" s="173">
        <f>Calc!A82</f>
        <v>7.3499999999999998E-3</v>
      </c>
      <c r="B75" s="173">
        <f>Calc!B82</f>
        <v>8.2690000000000003E-3</v>
      </c>
      <c r="C75" s="173">
        <f>Calc!C82</f>
        <v>1.9324000000000001E-2</v>
      </c>
      <c r="D75" s="173">
        <f>Calc!I82</f>
        <v>26147115612399.453</v>
      </c>
      <c r="E75" s="173">
        <f>Calc!P82</f>
        <v>1.705413294287459E-6</v>
      </c>
      <c r="F75" s="174">
        <f>Calc!S82</f>
        <v>586368.12637393363</v>
      </c>
      <c r="G75" s="173">
        <f>Calc!O82</f>
        <v>26147115612399.453</v>
      </c>
      <c r="H75" s="177">
        <f>Calc!X82</f>
        <v>0.55108139417097435</v>
      </c>
      <c r="I75" s="178">
        <f>Calc!Y82</f>
        <v>2.0380654359029666</v>
      </c>
      <c r="J75" s="176">
        <f>Calc!AE82</f>
        <v>1661.6247184004251</v>
      </c>
    </row>
    <row r="76" spans="1:10" x14ac:dyDescent="0.2">
      <c r="A76" s="173">
        <f>Calc!A83</f>
        <v>7.45E-3</v>
      </c>
      <c r="B76" s="173">
        <f>Calc!B83</f>
        <v>8.3359999999999997E-3</v>
      </c>
      <c r="C76" s="173">
        <f>Calc!C83</f>
        <v>1.8509999999999999E-2</v>
      </c>
      <c r="D76" s="173">
        <f>Calc!I83</f>
        <v>26359045902355.516</v>
      </c>
      <c r="E76" s="173">
        <f>Calc!P83</f>
        <v>1.7950547423196869E-6</v>
      </c>
      <c r="F76" s="174">
        <f>Calc!S83</f>
        <v>557086.07339594455</v>
      </c>
      <c r="G76" s="173">
        <f>Calc!O83</f>
        <v>26359045902355.516</v>
      </c>
      <c r="H76" s="177">
        <f>Calc!X83</f>
        <v>0.5512897090401192</v>
      </c>
      <c r="I76" s="178">
        <f>Calc!Y83</f>
        <v>1.9519827240701988</v>
      </c>
      <c r="J76" s="176">
        <f>Calc!AE83</f>
        <v>1661.6209251885739</v>
      </c>
    </row>
    <row r="77" spans="1:10" x14ac:dyDescent="0.2">
      <c r="A77" s="173">
        <f>Calc!A84</f>
        <v>7.5500000000000003E-3</v>
      </c>
      <c r="B77" s="173">
        <f>Calc!B84</f>
        <v>7.4770000000000001E-3</v>
      </c>
      <c r="C77" s="173">
        <f>Calc!C84</f>
        <v>1.7722999999999999E-2</v>
      </c>
      <c r="D77" s="173">
        <f>Calc!I84</f>
        <v>23641997419668.133</v>
      </c>
      <c r="E77" s="173">
        <f>Calc!P84</f>
        <v>1.6818371758609652E-6</v>
      </c>
      <c r="F77" s="174">
        <f>Calc!S84</f>
        <v>594587.87853681063</v>
      </c>
      <c r="G77" s="173">
        <f>Calc!O84</f>
        <v>23641997419668.133</v>
      </c>
      <c r="H77" s="177">
        <f>Calc!X84</f>
        <v>0.54848306291884519</v>
      </c>
      <c r="I77" s="178">
        <f>Calc!Y84</f>
        <v>1.8686337919244442</v>
      </c>
      <c r="J77" s="176">
        <f>Calc!AE84</f>
        <v>1661.6695591602215</v>
      </c>
    </row>
    <row r="78" spans="1:10" x14ac:dyDescent="0.2">
      <c r="A78" s="173">
        <f>Calc!A85</f>
        <v>7.6499999999999997E-3</v>
      </c>
      <c r="B78" s="173">
        <f>Calc!B85</f>
        <v>7.607E-3</v>
      </c>
      <c r="C78" s="173">
        <f>Calc!C85</f>
        <v>1.6959999999999999E-2</v>
      </c>
      <c r="D78" s="173">
        <f>Calc!I85</f>
        <v>24053179978308.184</v>
      </c>
      <c r="E78" s="173">
        <f>Calc!P85</f>
        <v>1.7876382472222386E-6</v>
      </c>
      <c r="F78" s="174">
        <f>Calc!S85</f>
        <v>559397.29407614807</v>
      </c>
      <c r="G78" s="173">
        <f>Calc!O85</f>
        <v>24053179978308.184</v>
      </c>
      <c r="H78" s="177">
        <f>Calc!X85</f>
        <v>0.54892782660607631</v>
      </c>
      <c r="I78" s="178">
        <f>Calc!Y85</f>
        <v>1.7886148971388935</v>
      </c>
      <c r="J78" s="176">
        <f>Calc!AE85</f>
        <v>1661.6621987322314</v>
      </c>
    </row>
    <row r="79" spans="1:10" x14ac:dyDescent="0.2">
      <c r="A79" s="173">
        <f>Calc!A86</f>
        <v>7.7499999999999999E-3</v>
      </c>
      <c r="B79" s="173">
        <f>Calc!B86</f>
        <v>7.4139999999999996E-3</v>
      </c>
      <c r="C79" s="173">
        <f>Calc!C86</f>
        <v>1.6253E-2</v>
      </c>
      <c r="D79" s="173">
        <f>Calc!I86</f>
        <v>23442733591886.176</v>
      </c>
      <c r="E79" s="173">
        <f>Calc!P86</f>
        <v>1.8176991409158953E-6</v>
      </c>
      <c r="F79" s="174">
        <f>Calc!S86</f>
        <v>550146.04773256753</v>
      </c>
      <c r="G79" s="173">
        <f>Calc!O86</f>
        <v>23442733591886.176</v>
      </c>
      <c r="H79" s="177">
        <f>Calc!X86</f>
        <v>0.54826474624705057</v>
      </c>
      <c r="I79" s="178">
        <f>Calc!Y86</f>
        <v>1.7143923925756321</v>
      </c>
      <c r="J79" s="176">
        <f>Calc!AE86</f>
        <v>1661.6731261654434</v>
      </c>
    </row>
    <row r="80" spans="1:10" x14ac:dyDescent="0.2">
      <c r="A80" s="173">
        <f>Calc!A87</f>
        <v>7.8499999999999993E-3</v>
      </c>
      <c r="B80" s="173">
        <f>Calc!B87</f>
        <v>6.6909999999999999E-3</v>
      </c>
      <c r="C80" s="173">
        <f>Calc!C87</f>
        <v>1.5546000000000001E-2</v>
      </c>
      <c r="D80" s="173">
        <f>Calc!I87</f>
        <v>21156017140745.316</v>
      </c>
      <c r="E80" s="173">
        <f>Calc!P87</f>
        <v>1.7142690844069461E-6</v>
      </c>
      <c r="F80" s="174">
        <f>Calc!S87</f>
        <v>583338.99142344238</v>
      </c>
      <c r="G80" s="173">
        <f>Calc!O87</f>
        <v>21156017140745.316</v>
      </c>
      <c r="H80" s="177">
        <f>Calc!X87</f>
        <v>0.54561799155521107</v>
      </c>
      <c r="I80" s="178">
        <f>Calc!Y87</f>
        <v>1.6405100598385993</v>
      </c>
      <c r="J80" s="176">
        <f>Calc!AE87</f>
        <v>1661.7140631327595</v>
      </c>
    </row>
    <row r="81" spans="1:10" x14ac:dyDescent="0.2">
      <c r="A81" s="173">
        <f>Calc!A88</f>
        <v>7.9500000000000005E-3</v>
      </c>
      <c r="B81" s="173">
        <f>Calc!B88</f>
        <v>5.9259999999999998E-3</v>
      </c>
      <c r="C81" s="173">
        <f>Calc!C88</f>
        <v>1.4911000000000001E-2</v>
      </c>
      <c r="D81" s="173">
        <f>Calc!I88</f>
        <v>18736608999881.207</v>
      </c>
      <c r="E81" s="173">
        <f>Calc!P88</f>
        <v>1.5832562957580542E-6</v>
      </c>
      <c r="F81" s="174">
        <f>Calc!S88</f>
        <v>631609.6779508125</v>
      </c>
      <c r="G81" s="173">
        <f>Calc!O88</f>
        <v>18736608999881.207</v>
      </c>
      <c r="H81" s="177">
        <f>Calc!X88</f>
        <v>0.54248745153127453</v>
      </c>
      <c r="I81" s="178">
        <f>Calc!Y88</f>
        <v>1.5731268765662918</v>
      </c>
      <c r="J81" s="176">
        <f>Calc!AE88</f>
        <v>1661.7573808578372</v>
      </c>
    </row>
    <row r="82" spans="1:10" x14ac:dyDescent="0.2">
      <c r="A82" s="173">
        <f>Calc!A89</f>
        <v>8.0499999999999999E-3</v>
      </c>
      <c r="B82" s="173">
        <f>Calc!B89</f>
        <v>5.6049999999999997E-3</v>
      </c>
      <c r="C82" s="173">
        <f>Calc!C89</f>
        <v>1.4271000000000001E-2</v>
      </c>
      <c r="D82" s="173">
        <f>Calc!I89</f>
        <v>17721451267114.605</v>
      </c>
      <c r="E82" s="173">
        <f>Calc!P89</f>
        <v>1.565396701586719E-6</v>
      </c>
      <c r="F82" s="174">
        <f>Calc!S89</f>
        <v>638815.7060573221</v>
      </c>
      <c r="G82" s="173">
        <f>Calc!O89</f>
        <v>17721451267114.605</v>
      </c>
      <c r="H82" s="177">
        <f>Calc!X89</f>
        <v>0.54105197349162437</v>
      </c>
      <c r="I82" s="178">
        <f>Calc!Y89</f>
        <v>1.5048695377329138</v>
      </c>
      <c r="J82" s="176">
        <f>Calc!AE89</f>
        <v>1661.7755581349645</v>
      </c>
    </row>
    <row r="83" spans="1:10" x14ac:dyDescent="0.2">
      <c r="A83" s="173">
        <f>Calc!A90</f>
        <v>8.1499999999999993E-3</v>
      </c>
      <c r="B83" s="173">
        <f>Calc!B90</f>
        <v>5.7679999999999997E-3</v>
      </c>
      <c r="C83" s="173">
        <f>Calc!C90</f>
        <v>1.3691E-2</v>
      </c>
      <c r="D83" s="173">
        <f>Calc!I90</f>
        <v>18236933029368.414</v>
      </c>
      <c r="E83" s="173">
        <f>Calc!P90</f>
        <v>1.6796242992795731E-6</v>
      </c>
      <c r="F83" s="174">
        <f>Calc!S90</f>
        <v>595371.23837849556</v>
      </c>
      <c r="G83" s="173">
        <f>Calc!O90</f>
        <v>18236933029368.414</v>
      </c>
      <c r="H83" s="177">
        <f>Calc!X90</f>
        <v>0.54179084518392395</v>
      </c>
      <c r="I83" s="178">
        <f>Calc!Y90</f>
        <v>1.4433233410389668</v>
      </c>
      <c r="J83" s="176">
        <f>Calc!AE90</f>
        <v>1661.7663278682387</v>
      </c>
    </row>
    <row r="84" spans="1:10" x14ac:dyDescent="0.2">
      <c r="A84" s="173">
        <f>Calc!A91</f>
        <v>8.2500000000000004E-3</v>
      </c>
      <c r="B84" s="173">
        <f>Calc!B91</f>
        <v>5.5510000000000004E-3</v>
      </c>
      <c r="C84" s="173">
        <f>Calc!C91</f>
        <v>1.3103E-2</v>
      </c>
      <c r="D84" s="173">
        <f>Calc!I91</f>
        <v>17550679677190.812</v>
      </c>
      <c r="E84" s="173">
        <f>Calc!P91</f>
        <v>1.6885150281167433E-6</v>
      </c>
      <c r="F84" s="174">
        <f>Calc!S91</f>
        <v>592236.3630082435</v>
      </c>
      <c r="G84" s="173">
        <f>Calc!O91</f>
        <v>17550679677190.812</v>
      </c>
      <c r="H84" s="177">
        <f>Calc!X91</f>
        <v>0.54080246333443094</v>
      </c>
      <c r="I84" s="178">
        <f>Calc!Y91</f>
        <v>1.3816975587277445</v>
      </c>
      <c r="J84" s="176">
        <f>Calc!AE91</f>
        <v>1661.7786160423043</v>
      </c>
    </row>
    <row r="85" spans="1:10" x14ac:dyDescent="0.2">
      <c r="A85" s="173">
        <f>Calc!A92</f>
        <v>8.3499999999999998E-3</v>
      </c>
      <c r="B85" s="173">
        <f>Calc!B92</f>
        <v>5.2420000000000001E-3</v>
      </c>
      <c r="C85" s="173">
        <f>Calc!C92</f>
        <v>1.2543E-2</v>
      </c>
      <c r="D85" s="173">
        <f>Calc!I92</f>
        <v>16573501137025.609</v>
      </c>
      <c r="E85" s="173">
        <f>Calc!P92</f>
        <v>1.6651522523669785E-6</v>
      </c>
      <c r="F85" s="174">
        <f>Calc!S92</f>
        <v>600545.68452780286</v>
      </c>
      <c r="G85" s="173">
        <f>Calc!O92</f>
        <v>16573501137025.609</v>
      </c>
      <c r="H85" s="177">
        <f>Calc!X92</f>
        <v>0.53932645547353109</v>
      </c>
      <c r="I85" s="178">
        <f>Calc!Y92</f>
        <v>1.3230744839371975</v>
      </c>
      <c r="J85" s="176">
        <f>Calc!AE92</f>
        <v>1661.7961143315326</v>
      </c>
    </row>
    <row r="86" spans="1:10" x14ac:dyDescent="0.2">
      <c r="A86" s="173">
        <f>Calc!A93</f>
        <v>8.4499999999999992E-3</v>
      </c>
      <c r="B86" s="173">
        <f>Calc!B93</f>
        <v>4.7569999999999999E-3</v>
      </c>
      <c r="C86" s="173">
        <f>Calc!C93</f>
        <v>1.2E-2</v>
      </c>
      <c r="D86" s="173">
        <f>Calc!I93</f>
        <v>15039791537631.945</v>
      </c>
      <c r="E86" s="173">
        <f>Calc!P93</f>
        <v>1.5791346928579185E-6</v>
      </c>
      <c r="F86" s="174">
        <f>Calc!S93</f>
        <v>633258.20395805466</v>
      </c>
      <c r="G86" s="173">
        <f>Calc!O93</f>
        <v>15039791537631.945</v>
      </c>
      <c r="H86" s="177">
        <f>Calc!X93</f>
        <v>0.53682507661390599</v>
      </c>
      <c r="I86" s="178">
        <f>Calc!Y93</f>
        <v>1.2660376539269662</v>
      </c>
      <c r="J86" s="176">
        <f>Calc!AE93</f>
        <v>1661.8235801899827</v>
      </c>
    </row>
    <row r="87" spans="1:10" x14ac:dyDescent="0.2">
      <c r="A87" s="173">
        <f>Calc!A94</f>
        <v>8.5500000000000003E-3</v>
      </c>
      <c r="B87" s="173">
        <f>Calc!B94</f>
        <v>4.5919999999999997E-3</v>
      </c>
      <c r="C87" s="173">
        <f>Calc!C94</f>
        <v>1.1488999999999999E-2</v>
      </c>
      <c r="D87" s="173">
        <f>Calc!I94</f>
        <v>14518027858406.648</v>
      </c>
      <c r="E87" s="173">
        <f>Calc!P94</f>
        <v>1.5924745307558712E-6</v>
      </c>
      <c r="F87" s="174">
        <f>Calc!S94</f>
        <v>627953.52775166056</v>
      </c>
      <c r="G87" s="173">
        <f>Calc!O94</f>
        <v>14518027858406.648</v>
      </c>
      <c r="H87" s="177">
        <f>Calc!X94</f>
        <v>0.53591571532048254</v>
      </c>
      <c r="I87" s="178">
        <f>Calc!Y94</f>
        <v>1.2118785844091016</v>
      </c>
      <c r="J87" s="176">
        <f>Calc!AE94</f>
        <v>1661.8329244973106</v>
      </c>
    </row>
    <row r="88" spans="1:10" x14ac:dyDescent="0.2">
      <c r="A88" s="173">
        <f>Calc!A95</f>
        <v>8.6499999999999997E-3</v>
      </c>
      <c r="B88" s="173">
        <f>Calc!B95</f>
        <v>4.0850000000000001E-3</v>
      </c>
      <c r="C88" s="173">
        <f>Calc!C95</f>
        <v>1.1024000000000001E-2</v>
      </c>
      <c r="D88" s="173">
        <f>Calc!I95</f>
        <v>12914834252620.588</v>
      </c>
      <c r="E88" s="173">
        <f>Calc!P95</f>
        <v>1.4770842498566162E-6</v>
      </c>
      <c r="F88" s="174">
        <f>Calc!S95</f>
        <v>677009.45270258118</v>
      </c>
      <c r="G88" s="173">
        <f>Calc!O95</f>
        <v>12914834252620.588</v>
      </c>
      <c r="H88" s="177">
        <f>Calc!X95</f>
        <v>0.53290256815607351</v>
      </c>
      <c r="I88" s="178">
        <f>Calc!Y95</f>
        <v>1.162271397372123</v>
      </c>
      <c r="J88" s="176">
        <f>Calc!AE95</f>
        <v>1661.8616378071904</v>
      </c>
    </row>
    <row r="89" spans="1:10" x14ac:dyDescent="0.2">
      <c r="A89" s="173">
        <f>Calc!A96</f>
        <v>8.7500000000000008E-3</v>
      </c>
      <c r="B89" s="173">
        <f>Calc!B96</f>
        <v>4.1570000000000001E-3</v>
      </c>
      <c r="C89" s="173">
        <f>Calc!C96</f>
        <v>1.0541E-2</v>
      </c>
      <c r="D89" s="173">
        <f>Calc!I96</f>
        <v>13142502683457.309</v>
      </c>
      <c r="E89" s="173">
        <f>Calc!P96</f>
        <v>1.5717561574049574E-6</v>
      </c>
      <c r="F89" s="174">
        <f>Calc!S96</f>
        <v>636231.00494187744</v>
      </c>
      <c r="G89" s="173">
        <f>Calc!O96</f>
        <v>13142502683457.309</v>
      </c>
      <c r="H89" s="177">
        <f>Calc!X96</f>
        <v>0.53335249765631298</v>
      </c>
      <c r="I89" s="178">
        <f>Calc!Y96</f>
        <v>1.1115189842945039</v>
      </c>
      <c r="J89" s="176">
        <f>Calc!AE96</f>
        <v>1661.8575601036614</v>
      </c>
    </row>
    <row r="90" spans="1:10" x14ac:dyDescent="0.2">
      <c r="A90" s="173">
        <f>Calc!A97</f>
        <v>8.8500000000000002E-3</v>
      </c>
      <c r="B90" s="173">
        <f>Calc!B97</f>
        <v>4.2750000000000002E-3</v>
      </c>
      <c r="C90" s="173">
        <f>Calc!C97</f>
        <v>1.01E-2</v>
      </c>
      <c r="D90" s="173">
        <f>Calc!I97</f>
        <v>13515628832713.826</v>
      </c>
      <c r="E90" s="173">
        <f>Calc!P97</f>
        <v>1.687621566722467E-6</v>
      </c>
      <c r="F90" s="174">
        <f>Calc!S97</f>
        <v>592549.90526718297</v>
      </c>
      <c r="G90" s="173">
        <f>Calc!O97</f>
        <v>13515628832713.826</v>
      </c>
      <c r="H90" s="177">
        <f>Calc!X97</f>
        <v>0.53407333477913044</v>
      </c>
      <c r="I90" s="178">
        <f>Calc!Y97</f>
        <v>1.0645968347083101</v>
      </c>
      <c r="J90" s="176">
        <f>Calc!AE97</f>
        <v>1661.850877253431</v>
      </c>
    </row>
    <row r="91" spans="1:10" x14ac:dyDescent="0.2">
      <c r="A91" s="173">
        <f>Calc!A98</f>
        <v>8.9499999999999996E-3</v>
      </c>
      <c r="B91" s="173">
        <f>Calc!B98</f>
        <v>3.6250000000000002E-3</v>
      </c>
      <c r="C91" s="173">
        <f>Calc!C98</f>
        <v>9.6579999999999999E-3</v>
      </c>
      <c r="D91" s="173">
        <f>Calc!I98</f>
        <v>11460317463466.738</v>
      </c>
      <c r="E91" s="173">
        <f>Calc!P98</f>
        <v>1.4964549212494703E-6</v>
      </c>
      <c r="F91" s="174">
        <f>Calc!S98</f>
        <v>668245.98955428984</v>
      </c>
      <c r="G91" s="173">
        <f>Calc!O98</f>
        <v>11460317463466.738</v>
      </c>
      <c r="H91" s="177">
        <f>Calc!X98</f>
        <v>0.52982657715023029</v>
      </c>
      <c r="I91" s="178">
        <f>Calc!Y98</f>
        <v>1.0180215937076611</v>
      </c>
      <c r="J91" s="176">
        <f>Calc!AE98</f>
        <v>1661.8876903780879</v>
      </c>
    </row>
    <row r="92" spans="1:10" x14ac:dyDescent="0.2">
      <c r="A92" s="173">
        <f>Calc!A99</f>
        <v>9.0500000000000008E-3</v>
      </c>
      <c r="B92" s="173">
        <f>Calc!B99</f>
        <v>4.0150000000000003E-3</v>
      </c>
      <c r="C92" s="173">
        <f>Calc!C99</f>
        <v>9.2560000000000003E-3</v>
      </c>
      <c r="D92" s="173">
        <f>Calc!I99</f>
        <v>12693491225094.637</v>
      </c>
      <c r="E92" s="173">
        <f>Calc!P99</f>
        <v>1.7289560382414248E-6</v>
      </c>
      <c r="F92" s="174">
        <f>Calc!S99</f>
        <v>578383.70520669373</v>
      </c>
      <c r="G92" s="173">
        <f>Calc!O99</f>
        <v>12693491225094.637</v>
      </c>
      <c r="H92" s="177">
        <f>Calc!X99</f>
        <v>0.53245748668715132</v>
      </c>
      <c r="I92" s="178">
        <f>Calc!Y99</f>
        <v>0.97593550271231644</v>
      </c>
      <c r="J92" s="176">
        <f>Calc!AE99</f>
        <v>1661.8656022645773</v>
      </c>
    </row>
    <row r="93" spans="1:10" x14ac:dyDescent="0.2">
      <c r="A93" s="173">
        <f>Calc!A100</f>
        <v>9.1500000000000001E-3</v>
      </c>
      <c r="B93" s="173">
        <f>Calc!B100</f>
        <v>3.9490000000000003E-3</v>
      </c>
      <c r="C93" s="173">
        <f>Calc!C100</f>
        <v>8.8760000000000002E-3</v>
      </c>
      <c r="D93" s="173">
        <f>Calc!I100</f>
        <v>12484797526643.662</v>
      </c>
      <c r="E93" s="173">
        <f>Calc!P100</f>
        <v>1.7733680276335554E-6</v>
      </c>
      <c r="F93" s="174">
        <f>Calc!S100</f>
        <v>563898.74180577509</v>
      </c>
      <c r="G93" s="173">
        <f>Calc!O100</f>
        <v>12484797526643.662</v>
      </c>
      <c r="H93" s="177">
        <f>Calc!X100</f>
        <v>0.53203068983739932</v>
      </c>
      <c r="I93" s="178">
        <f>Calc!Y100</f>
        <v>0.93585078720927239</v>
      </c>
      <c r="J93" s="176">
        <f>Calc!AE100</f>
        <v>1661.8693402026729</v>
      </c>
    </row>
    <row r="94" spans="1:10" x14ac:dyDescent="0.2">
      <c r="A94" s="173">
        <f>Calc!A101</f>
        <v>9.2499999999999995E-3</v>
      </c>
      <c r="B94" s="173">
        <f>Calc!B101</f>
        <v>3.447E-3</v>
      </c>
      <c r="C94" s="173">
        <f>Calc!C101</f>
        <v>8.4639999999999993E-3</v>
      </c>
      <c r="D94" s="173">
        <f>Calc!I101</f>
        <v>10897497332527.189</v>
      </c>
      <c r="E94" s="173">
        <f>Calc!P101</f>
        <v>1.622102132325199E-6</v>
      </c>
      <c r="F94" s="174">
        <f>Calc!S101</f>
        <v>616483.99305583816</v>
      </c>
      <c r="G94" s="173">
        <f>Calc!O101</f>
        <v>10897497332527.189</v>
      </c>
      <c r="H94" s="177">
        <f>Calc!X101</f>
        <v>0.5285304259175605</v>
      </c>
      <c r="I94" s="178">
        <f>Calc!Y101</f>
        <v>0.89304338293067809</v>
      </c>
      <c r="J94" s="176">
        <f>Calc!AE101</f>
        <v>1661.8977718576887</v>
      </c>
    </row>
    <row r="95" spans="1:10" x14ac:dyDescent="0.2">
      <c r="A95" s="173">
        <f>Calc!A102</f>
        <v>9.3500000000000007E-3</v>
      </c>
      <c r="B95" s="173">
        <f>Calc!B102</f>
        <v>3.2919999999999998E-3</v>
      </c>
      <c r="C95" s="173">
        <f>Calc!C102</f>
        <v>8.1180000000000002E-3</v>
      </c>
      <c r="D95" s="173">
        <f>Calc!I102</f>
        <v>10407407798907.189</v>
      </c>
      <c r="E95" s="173">
        <f>Calc!P102</f>
        <v>1.6150087583300292E-6</v>
      </c>
      <c r="F95" s="174">
        <f>Calc!S102</f>
        <v>619191.68831235997</v>
      </c>
      <c r="G95" s="173">
        <f>Calc!O102</f>
        <v>10407407798907.189</v>
      </c>
      <c r="H95" s="177">
        <f>Calc!X102</f>
        <v>0.52734613837832089</v>
      </c>
      <c r="I95" s="178">
        <f>Calc!Y102</f>
        <v>0.85662682661719025</v>
      </c>
      <c r="J95" s="176">
        <f>Calc!AE102</f>
        <v>1661.9065507957346</v>
      </c>
    </row>
    <row r="96" spans="1:10" x14ac:dyDescent="0.2">
      <c r="A96" s="173">
        <f>Calc!A103</f>
        <v>9.4500000000000001E-3</v>
      </c>
      <c r="B96" s="173">
        <f>Calc!B103</f>
        <v>3.003E-3</v>
      </c>
      <c r="C96" s="173">
        <f>Calc!C103</f>
        <v>7.7609999999999997E-3</v>
      </c>
      <c r="D96" s="173">
        <f>Calc!I103</f>
        <v>9493644485421.7773</v>
      </c>
      <c r="E96" s="173">
        <f>Calc!P103</f>
        <v>1.5415210569825213E-6</v>
      </c>
      <c r="F96" s="174">
        <f>Calc!S103</f>
        <v>648709.91884264897</v>
      </c>
      <c r="G96" s="173">
        <f>Calc!O103</f>
        <v>9493644485421.7773</v>
      </c>
      <c r="H96" s="177">
        <f>Calc!X103</f>
        <v>0.52498133240256806</v>
      </c>
      <c r="I96" s="178">
        <f>Calc!Y103</f>
        <v>0.81866737510335952</v>
      </c>
      <c r="J96" s="176">
        <f>Calc!AE103</f>
        <v>1661.9229195694952</v>
      </c>
    </row>
    <row r="97" spans="1:10" x14ac:dyDescent="0.2">
      <c r="A97" s="173">
        <f>Calc!A104</f>
        <v>9.5499999999999995E-3</v>
      </c>
      <c r="B97" s="173">
        <f>Calc!B104</f>
        <v>2.7780000000000001E-3</v>
      </c>
      <c r="C97" s="173">
        <f>Calc!C104</f>
        <v>7.4310000000000001E-3</v>
      </c>
      <c r="D97" s="173">
        <f>Calc!I104</f>
        <v>8782251956720.3486</v>
      </c>
      <c r="E97" s="173">
        <f>Calc!P104</f>
        <v>1.4893459479598916E-6</v>
      </c>
      <c r="F97" s="174">
        <f>Calc!S104</f>
        <v>671435.67361170659</v>
      </c>
      <c r="G97" s="173">
        <f>Calc!O104</f>
        <v>8782251956720.3486</v>
      </c>
      <c r="H97" s="177">
        <f>Calc!X104</f>
        <v>0.52297721827955002</v>
      </c>
      <c r="I97" s="178">
        <f>Calc!Y104</f>
        <v>0.78385238677305658</v>
      </c>
      <c r="J97" s="176">
        <f>Calc!AE104</f>
        <v>1661.9356636968773</v>
      </c>
    </row>
    <row r="98" spans="1:10" x14ac:dyDescent="0.2">
      <c r="A98" s="173">
        <f>Calc!A105</f>
        <v>9.6500000000000006E-3</v>
      </c>
      <c r="B98" s="173">
        <f>Calc!B105</f>
        <v>2.715E-3</v>
      </c>
      <c r="C98" s="173">
        <f>Calc!C105</f>
        <v>7.0910000000000001E-3</v>
      </c>
      <c r="D98" s="173">
        <f>Calc!I105</f>
        <v>8583064385565.6006</v>
      </c>
      <c r="E98" s="173">
        <f>Calc!P105</f>
        <v>1.5259385924185163E-6</v>
      </c>
      <c r="F98" s="174">
        <f>Calc!S105</f>
        <v>655334.36586622742</v>
      </c>
      <c r="G98" s="173">
        <f>Calc!O105</f>
        <v>8583064385565.6006</v>
      </c>
      <c r="H98" s="177">
        <f>Calc!X105</f>
        <v>0.52238696621625402</v>
      </c>
      <c r="I98" s="178">
        <f>Calc!Y105</f>
        <v>0.74770329446609141</v>
      </c>
      <c r="J98" s="176">
        <f>Calc!AE105</f>
        <v>1661.9392320952807</v>
      </c>
    </row>
    <row r="99" spans="1:10" x14ac:dyDescent="0.2">
      <c r="A99" s="173">
        <f>Calc!A106</f>
        <v>9.75E-3</v>
      </c>
      <c r="B99" s="173">
        <f>Calc!B106</f>
        <v>2.4949999999999998E-3</v>
      </c>
      <c r="C99" s="173">
        <f>Calc!C106</f>
        <v>6.796E-3</v>
      </c>
      <c r="D99" s="173">
        <f>Calc!I106</f>
        <v>7887496759125.7617</v>
      </c>
      <c r="E99" s="173">
        <f>Calc!P106</f>
        <v>1.4631080423342589E-6</v>
      </c>
      <c r="F99" s="174">
        <f>Calc!S106</f>
        <v>683476.52457264147</v>
      </c>
      <c r="G99" s="173">
        <f>Calc!O106</f>
        <v>7887496759125.7617</v>
      </c>
      <c r="H99" s="177">
        <f>Calc!X106</f>
        <v>0.52021278978426155</v>
      </c>
      <c r="I99" s="178">
        <f>Calc!Y106</f>
        <v>0.71661645620446179</v>
      </c>
      <c r="J99" s="176">
        <f>Calc!AE106</f>
        <v>1661.9516933157261</v>
      </c>
    </row>
    <row r="100" spans="1:10" x14ac:dyDescent="0.2">
      <c r="A100" s="173">
        <f>Calc!A107</f>
        <v>9.8499999999999994E-3</v>
      </c>
      <c r="B100" s="173">
        <f>Calc!B107</f>
        <v>2.5850000000000001E-3</v>
      </c>
      <c r="C100" s="173">
        <f>Calc!C107</f>
        <v>6.5189999999999996E-3</v>
      </c>
      <c r="D100" s="173">
        <f>Calc!I107</f>
        <v>8172045644842.2041</v>
      </c>
      <c r="E100" s="173">
        <f>Calc!P107</f>
        <v>1.5806774669204997E-6</v>
      </c>
      <c r="F100" s="174">
        <f>Calc!S107</f>
        <v>632640.13105278439</v>
      </c>
      <c r="G100" s="173">
        <f>Calc!O107</f>
        <v>8172045644842.2041</v>
      </c>
      <c r="H100" s="177">
        <f>Calc!X107</f>
        <v>0.52112450600565341</v>
      </c>
      <c r="I100" s="178">
        <f>Calc!Y107</f>
        <v>0.68724486269603124</v>
      </c>
      <c r="J100" s="176">
        <f>Calc!AE107</f>
        <v>1661.946595516165</v>
      </c>
    </row>
    <row r="101" spans="1:10" x14ac:dyDescent="0.2">
      <c r="A101" s="173">
        <f>Calc!A108</f>
        <v>9.9500000000000005E-3</v>
      </c>
      <c r="B101" s="173">
        <f>Calc!B108</f>
        <v>2.284E-3</v>
      </c>
      <c r="C101" s="173">
        <f>Calc!C108</f>
        <v>6.2179999999999996E-3</v>
      </c>
      <c r="D101" s="173">
        <f>Calc!I108</f>
        <v>7220395884827.8486</v>
      </c>
      <c r="E101" s="173">
        <f>Calc!P108</f>
        <v>1.4638099775625164E-6</v>
      </c>
      <c r="F101" s="174">
        <f>Calc!S108</f>
        <v>683148.77969234902</v>
      </c>
      <c r="G101" s="173">
        <f>Calc!O108</f>
        <v>7220395884827.8486</v>
      </c>
      <c r="H101" s="177">
        <f>Calc!X108</f>
        <v>0.51793965578562151</v>
      </c>
      <c r="I101" s="178">
        <f>Calc!Y108</f>
        <v>0.655692608027868</v>
      </c>
      <c r="J101" s="176">
        <f>Calc!AE108</f>
        <v>1661.9636449732043</v>
      </c>
    </row>
    <row r="102" spans="1:10" x14ac:dyDescent="0.2">
      <c r="A102" s="173">
        <f>Calc!A109</f>
        <v>1.005E-2</v>
      </c>
      <c r="B102" s="173">
        <f>Calc!B109</f>
        <v>2.4780000000000002E-3</v>
      </c>
      <c r="C102" s="173">
        <f>Calc!C109</f>
        <v>5.973E-3</v>
      </c>
      <c r="D102" s="173">
        <f>Calc!I109</f>
        <v>7833748870549.1162</v>
      </c>
      <c r="E102" s="173">
        <f>Calc!P109</f>
        <v>1.6541432222110987E-6</v>
      </c>
      <c r="F102" s="174">
        <f>Calc!S109</f>
        <v>604542.57310004195</v>
      </c>
      <c r="G102" s="173">
        <f>Calc!O109</f>
        <v>7833748870549.1162</v>
      </c>
      <c r="H102" s="177">
        <f>Calc!X109</f>
        <v>0.5200368945093462</v>
      </c>
      <c r="I102" s="178">
        <f>Calc!Y109</f>
        <v>0.62953592136103409</v>
      </c>
      <c r="J102" s="176">
        <f>Calc!AE109</f>
        <v>1661.9526562377064</v>
      </c>
    </row>
    <row r="103" spans="1:10" x14ac:dyDescent="0.2">
      <c r="A103" s="173">
        <f>Calc!A110</f>
        <v>1.0149999999999999E-2</v>
      </c>
      <c r="B103" s="173">
        <f>Calc!B110</f>
        <v>2.0079999999999998E-3</v>
      </c>
      <c r="C103" s="173">
        <f>Calc!C110</f>
        <v>5.6899999999999997E-3</v>
      </c>
      <c r="D103" s="173">
        <f>Calc!I110</f>
        <v>6347807313656.8789</v>
      </c>
      <c r="E103" s="173">
        <f>Calc!P110</f>
        <v>1.4065967482910029E-6</v>
      </c>
      <c r="F103" s="174">
        <f>Calc!S110</f>
        <v>710935.81093579321</v>
      </c>
      <c r="G103" s="173">
        <f>Calc!O110</f>
        <v>6347807313656.8789</v>
      </c>
      <c r="H103" s="177">
        <f>Calc!X110</f>
        <v>0.51462693754754119</v>
      </c>
      <c r="I103" s="178">
        <f>Calc!Y110</f>
        <v>0.59989895714261421</v>
      </c>
      <c r="J103" s="176">
        <f>Calc!AE110</f>
        <v>1661.9792787375725</v>
      </c>
    </row>
    <row r="104" spans="1:10" x14ac:dyDescent="0.2">
      <c r="A104" s="173">
        <f>Calc!A111</f>
        <v>1.025E-2</v>
      </c>
      <c r="B104" s="173">
        <f>Calc!B111</f>
        <v>2.5860000000000002E-3</v>
      </c>
      <c r="C104" s="173">
        <f>Calc!C111</f>
        <v>5.4619999999999998E-3</v>
      </c>
      <c r="D104" s="173">
        <f>Calc!I111</f>
        <v>8175207310848.332</v>
      </c>
      <c r="E104" s="173">
        <f>Calc!P111</f>
        <v>1.8869304653363125E-6</v>
      </c>
      <c r="F104" s="174">
        <f>Calc!S111</f>
        <v>529961.23501160543</v>
      </c>
      <c r="G104" s="173">
        <f>Calc!O111</f>
        <v>8175207310848.332</v>
      </c>
      <c r="H104" s="177">
        <f>Calc!X111</f>
        <v>0.5211344571366533</v>
      </c>
      <c r="I104" s="178">
        <f>Calc!Y111</f>
        <v>0.57592623039951019</v>
      </c>
      <c r="J104" s="176">
        <f>Calc!AE111</f>
        <v>1661.9465388741617</v>
      </c>
    </row>
    <row r="105" spans="1:10" x14ac:dyDescent="0.2">
      <c r="A105" s="173">
        <f>Calc!A112</f>
        <v>1.035E-2</v>
      </c>
      <c r="B105" s="173">
        <f>Calc!B112</f>
        <v>1.8730000000000001E-3</v>
      </c>
      <c r="C105" s="173">
        <f>Calc!C112</f>
        <v>5.2329999999999998E-3</v>
      </c>
      <c r="D105" s="173">
        <f>Calc!I112</f>
        <v>5921004832731.415</v>
      </c>
      <c r="E105" s="173">
        <f>Calc!P112</f>
        <v>1.4275715821222056E-6</v>
      </c>
      <c r="F105" s="174">
        <f>Calc!S112</f>
        <v>700490.26783675223</v>
      </c>
      <c r="G105" s="173">
        <f>Calc!O112</f>
        <v>5921004832731.415</v>
      </c>
      <c r="H105" s="177">
        <f>Calc!X112</f>
        <v>0.51283695203768276</v>
      </c>
      <c r="I105" s="178">
        <f>Calc!Y112</f>
        <v>0.55134253931150745</v>
      </c>
      <c r="J105" s="176">
        <f>Calc!AE112</f>
        <v>1661.986925818268</v>
      </c>
    </row>
    <row r="106" spans="1:10" x14ac:dyDescent="0.2">
      <c r="A106" s="173">
        <f>Calc!A113</f>
        <v>1.0449999999999999E-2</v>
      </c>
      <c r="B106" s="173">
        <f>Calc!B113</f>
        <v>2.1250000000000002E-3</v>
      </c>
      <c r="C106" s="173">
        <f>Calc!C113</f>
        <v>5.0099999999999997E-3</v>
      </c>
      <c r="D106" s="173">
        <f>Calc!I113</f>
        <v>6717706594563.874</v>
      </c>
      <c r="E106" s="173">
        <f>Calc!P113</f>
        <v>1.6907201674625746E-6</v>
      </c>
      <c r="F106" s="174">
        <f>Calc!S113</f>
        <v>591463.93301390659</v>
      </c>
      <c r="G106" s="173">
        <f>Calc!O113</f>
        <v>6717706594563.874</v>
      </c>
      <c r="H106" s="177">
        <f>Calc!X113</f>
        <v>0.51608357839980046</v>
      </c>
      <c r="I106" s="178">
        <f>Calc!Y113</f>
        <v>0.52816945199592158</v>
      </c>
      <c r="J106" s="176">
        <f>Calc!AE113</f>
        <v>1661.9726513371074</v>
      </c>
    </row>
    <row r="107" spans="1:10" x14ac:dyDescent="0.2">
      <c r="A107" s="173">
        <f>Calc!A114</f>
        <v>1.055E-2</v>
      </c>
      <c r="B107" s="173">
        <f>Calc!B114</f>
        <v>2.356E-3</v>
      </c>
      <c r="C107" s="173">
        <f>Calc!C114</f>
        <v>4.7920000000000003E-3</v>
      </c>
      <c r="D107" s="173">
        <f>Calc!I114</f>
        <v>7448030913128.833</v>
      </c>
      <c r="E107" s="173">
        <f>Calc!P114</f>
        <v>1.9605668467867845E-6</v>
      </c>
      <c r="F107" s="174">
        <f>Calc!S114</f>
        <v>510056.56933268154</v>
      </c>
      <c r="G107" s="173">
        <f>Calc!O114</f>
        <v>7448030913128.833</v>
      </c>
      <c r="H107" s="177">
        <f>Calc!X114</f>
        <v>0.51873807204960132</v>
      </c>
      <c r="I107" s="178">
        <f>Calc!Y114</f>
        <v>0.50499118445206825</v>
      </c>
      <c r="J107" s="176">
        <f>Calc!AE114</f>
        <v>1661.9595666589237</v>
      </c>
    </row>
    <row r="108" spans="1:10" x14ac:dyDescent="0.2">
      <c r="A108" s="173">
        <f>Calc!A115</f>
        <v>1.065E-2</v>
      </c>
      <c r="B108" s="173">
        <f>Calc!B115</f>
        <v>2.0739999999999999E-3</v>
      </c>
      <c r="C108" s="173">
        <f>Calc!C115</f>
        <v>4.6080000000000001E-3</v>
      </c>
      <c r="D108" s="173">
        <f>Calc!I115</f>
        <v>6556468012947.0098</v>
      </c>
      <c r="E108" s="173">
        <f>Calc!P115</f>
        <v>1.7934245193897764E-6</v>
      </c>
      <c r="F108" s="174">
        <f>Calc!S115</f>
        <v>557592.4657326974</v>
      </c>
      <c r="G108" s="173">
        <f>Calc!O115</f>
        <v>6556468012947.0098</v>
      </c>
      <c r="H108" s="177">
        <f>Calc!X115</f>
        <v>0.51545873660388064</v>
      </c>
      <c r="I108" s="178">
        <f>Calc!Y115</f>
        <v>0.48597152658770937</v>
      </c>
      <c r="J108" s="176">
        <f>Calc!AE115</f>
        <v>1661.9755401960458</v>
      </c>
    </row>
    <row r="109" spans="1:10" x14ac:dyDescent="0.2">
      <c r="A109" s="173">
        <f>Calc!A116</f>
        <v>1.0749999999999999E-2</v>
      </c>
      <c r="B109" s="173">
        <f>Calc!B116</f>
        <v>1.8730000000000001E-3</v>
      </c>
      <c r="C109" s="173">
        <f>Calc!C116</f>
        <v>4.3779999999999999E-3</v>
      </c>
      <c r="D109" s="173">
        <f>Calc!I116</f>
        <v>5921004832731.415</v>
      </c>
      <c r="E109" s="173">
        <f>Calc!P116</f>
        <v>1.7051388554245829E-6</v>
      </c>
      <c r="F109" s="174">
        <f>Calc!S116</f>
        <v>586462.50228798203</v>
      </c>
      <c r="G109" s="173">
        <f>Calc!O116</f>
        <v>5921004832731.415</v>
      </c>
      <c r="H109" s="177">
        <f>Calc!X116</f>
        <v>0.51283695203768276</v>
      </c>
      <c r="I109" s="178">
        <f>Calc!Y116</f>
        <v>0.46159345828772308</v>
      </c>
      <c r="J109" s="176">
        <f>Calc!AE116</f>
        <v>1661.986925818268</v>
      </c>
    </row>
    <row r="110" spans="1:10" x14ac:dyDescent="0.2">
      <c r="A110" s="173">
        <f>Calc!A117</f>
        <v>1.085E-2</v>
      </c>
      <c r="B110" s="173">
        <f>Calc!B117</f>
        <v>1.9009999999999999E-3</v>
      </c>
      <c r="C110" s="173">
        <f>Calc!C117</f>
        <v>4.1869999999999997E-3</v>
      </c>
      <c r="D110" s="173">
        <f>Calc!I117</f>
        <v>6009526442900.166</v>
      </c>
      <c r="E110" s="173">
        <f>Calc!P117</f>
        <v>1.811332084032812E-6</v>
      </c>
      <c r="F110" s="174">
        <f>Calc!S117</f>
        <v>552079.88016475504</v>
      </c>
      <c r="G110" s="173">
        <f>Calc!O117</f>
        <v>6009526442900.166</v>
      </c>
      <c r="H110" s="177">
        <f>Calc!X117</f>
        <v>0.51321857537925497</v>
      </c>
      <c r="I110" s="178">
        <f>Calc!Y117</f>
        <v>0.44102798833028317</v>
      </c>
      <c r="J110" s="176">
        <f>Calc!AE117</f>
        <v>1661.9853397500267</v>
      </c>
    </row>
    <row r="111" spans="1:10" x14ac:dyDescent="0.2">
      <c r="A111" s="173">
        <f>Calc!A118</f>
        <v>1.095E-2</v>
      </c>
      <c r="B111" s="173">
        <f>Calc!B118</f>
        <v>2.1450000000000002E-3</v>
      </c>
      <c r="C111" s="173">
        <f>Calc!C118</f>
        <v>4.0049999999999999E-3</v>
      </c>
      <c r="D111" s="173">
        <f>Calc!I118</f>
        <v>6780937593775.5723</v>
      </c>
      <c r="E111" s="173">
        <f>Calc!P118</f>
        <v>2.1364803463405376E-6</v>
      </c>
      <c r="F111" s="174">
        <f>Calc!S118</f>
        <v>468059.53611966129</v>
      </c>
      <c r="G111" s="173">
        <f>Calc!O118</f>
        <v>6780937593775.5723</v>
      </c>
      <c r="H111" s="177">
        <f>Calc!X118</f>
        <v>0.5163245349217731</v>
      </c>
      <c r="I111" s="178">
        <f>Calc!Y118</f>
        <v>0.42190514950660213</v>
      </c>
      <c r="J111" s="176">
        <f>Calc!AE118</f>
        <v>1661.9715184545951</v>
      </c>
    </row>
    <row r="112" spans="1:10" x14ac:dyDescent="0.2">
      <c r="A112" s="173">
        <f>Calc!A119</f>
        <v>1.1050000000000001E-2</v>
      </c>
      <c r="B112" s="173">
        <f>Calc!B119</f>
        <v>2.1619999999999999E-3</v>
      </c>
      <c r="C112" s="173">
        <f>Calc!C119</f>
        <v>3.8479999999999999E-3</v>
      </c>
      <c r="D112" s="173">
        <f>Calc!I119</f>
        <v>6834684024118.4814</v>
      </c>
      <c r="E112" s="173">
        <f>Calc!P119</f>
        <v>2.2399841288502048E-6</v>
      </c>
      <c r="F112" s="174">
        <f>Calc!S119</f>
        <v>446431.73446930136</v>
      </c>
      <c r="G112" s="173">
        <f>Calc!O119</f>
        <v>6834684024118.4814</v>
      </c>
      <c r="H112" s="177">
        <f>Calc!X119</f>
        <v>0.51652759023651496</v>
      </c>
      <c r="I112" s="178">
        <f>Calc!Y119</f>
        <v>0.40559956531820712</v>
      </c>
      <c r="J112" s="176">
        <f>Calc!AE119</f>
        <v>1661.9705555059415</v>
      </c>
    </row>
    <row r="113" spans="1:10" x14ac:dyDescent="0.2">
      <c r="A113" s="173">
        <f>Calc!A120</f>
        <v>1.115E-2</v>
      </c>
      <c r="B113" s="173">
        <f>Calc!B120</f>
        <v>1.9E-3</v>
      </c>
      <c r="C113" s="173">
        <f>Calc!C120</f>
        <v>3.6849999999999999E-3</v>
      </c>
      <c r="D113" s="173">
        <f>Calc!I120</f>
        <v>6006364953345.6895</v>
      </c>
      <c r="E113" s="173">
        <f>Calc!P120</f>
        <v>2.0555806040096064E-6</v>
      </c>
      <c r="F113" s="174">
        <f>Calc!S120</f>
        <v>486480.55830372317</v>
      </c>
      <c r="G113" s="173">
        <f>Calc!O120</f>
        <v>6006364953345.6895</v>
      </c>
      <c r="H113" s="177">
        <f>Calc!X120</f>
        <v>0.5132050429308207</v>
      </c>
      <c r="I113" s="178">
        <f>Calc!Y120</f>
        <v>0.38841964450861455</v>
      </c>
      <c r="J113" s="176">
        <f>Calc!AE120</f>
        <v>1661.9853963952573</v>
      </c>
    </row>
    <row r="114" spans="1:10" x14ac:dyDescent="0.2">
      <c r="A114" s="173">
        <f>Calc!A121</f>
        <v>1.125E-2</v>
      </c>
      <c r="B114" s="173">
        <f>Calc!B121</f>
        <v>1.897E-3</v>
      </c>
      <c r="C114" s="173">
        <f>Calc!C121</f>
        <v>3.5100000000000001E-3</v>
      </c>
      <c r="D114" s="173">
        <f>Calc!I121</f>
        <v>5996880486226.126</v>
      </c>
      <c r="E114" s="173">
        <f>Calc!P121</f>
        <v>2.1535444945533989E-6</v>
      </c>
      <c r="F114" s="174">
        <f>Calc!S121</f>
        <v>464350.74938111159</v>
      </c>
      <c r="G114" s="173">
        <f>Calc!O121</f>
        <v>5996880486226.126</v>
      </c>
      <c r="H114" s="177">
        <f>Calc!X121</f>
        <v>0.51316440285740605</v>
      </c>
      <c r="I114" s="178">
        <f>Calc!Y121</f>
        <v>0.37016514701087194</v>
      </c>
      <c r="J114" s="176">
        <f>Calc!AE121</f>
        <v>1661.9855663309781</v>
      </c>
    </row>
    <row r="115" spans="1:10" x14ac:dyDescent="0.2">
      <c r="A115" s="173">
        <f>Calc!A122</f>
        <v>1.1350000000000001E-2</v>
      </c>
      <c r="B115" s="173">
        <f>Calc!B122</f>
        <v>2.1549999999999998E-3</v>
      </c>
      <c r="C115" s="173">
        <f>Calc!C122</f>
        <v>3.3519999999999999E-3</v>
      </c>
      <c r="D115" s="173">
        <f>Calc!I122</f>
        <v>6812553132020.0996</v>
      </c>
      <c r="E115" s="173">
        <f>Calc!P122</f>
        <v>2.5595231241628771E-6</v>
      </c>
      <c r="F115" s="174">
        <f>Calc!S122</f>
        <v>390697.77895828587</v>
      </c>
      <c r="G115" s="173">
        <f>Calc!O122</f>
        <v>6812553132020.0996</v>
      </c>
      <c r="H115" s="177">
        <f>Calc!X122</f>
        <v>0.51644417302050105</v>
      </c>
      <c r="I115" s="178">
        <f>Calc!Y122</f>
        <v>0.35381384693679563</v>
      </c>
      <c r="J115" s="176">
        <f>Calc!AE122</f>
        <v>1661.9709520140455</v>
      </c>
    </row>
    <row r="116" spans="1:10" x14ac:dyDescent="0.2">
      <c r="A116" s="173">
        <f>Calc!A123</f>
        <v>1.145E-2</v>
      </c>
      <c r="B116" s="173">
        <f>Calc!B123</f>
        <v>1.6900000000000001E-3</v>
      </c>
      <c r="C116" s="173">
        <f>Calc!C123</f>
        <v>3.202E-3</v>
      </c>
      <c r="D116" s="173">
        <f>Calc!I123</f>
        <v>5342457853778.2002</v>
      </c>
      <c r="E116" s="173">
        <f>Calc!P123</f>
        <v>2.1011573130108301E-6</v>
      </c>
      <c r="F116" s="174">
        <f>Calc!S123</f>
        <v>475928.19143441925</v>
      </c>
      <c r="G116" s="173">
        <f>Calc!O123</f>
        <v>5342457853778.2002</v>
      </c>
      <c r="H116" s="177">
        <f>Calc!X123</f>
        <v>0.51019295228772532</v>
      </c>
      <c r="I116" s="178">
        <f>Calc!Y123</f>
        <v>0.33799207417882182</v>
      </c>
      <c r="J116" s="176">
        <f>Calc!AE123</f>
        <v>1661.9972919981167</v>
      </c>
    </row>
    <row r="117" spans="1:10" x14ac:dyDescent="0.2">
      <c r="A117" s="173">
        <f>Calc!A124</f>
        <v>1.155E-2</v>
      </c>
      <c r="B117" s="173">
        <f>Calc!B124</f>
        <v>1.304E-3</v>
      </c>
      <c r="C117" s="173">
        <f>Calc!C124</f>
        <v>3.0460000000000001E-3</v>
      </c>
      <c r="D117" s="173">
        <f>Calc!I124</f>
        <v>4122163005976.998</v>
      </c>
      <c r="E117" s="173">
        <f>Calc!P124</f>
        <v>1.7055851404541614E-6</v>
      </c>
      <c r="F117" s="174">
        <f>Calc!S124</f>
        <v>586309.04798197967</v>
      </c>
      <c r="G117" s="173">
        <f>Calc!O124</f>
        <v>4122163005976.998</v>
      </c>
      <c r="H117" s="177">
        <f>Calc!X124</f>
        <v>0.50352596637055547</v>
      </c>
      <c r="I117" s="178">
        <f>Calc!Y124</f>
        <v>0.32127411687592861</v>
      </c>
      <c r="J117" s="176">
        <f>Calc!AE124</f>
        <v>1662.0191577912426</v>
      </c>
    </row>
    <row r="118" spans="1:10" x14ac:dyDescent="0.2">
      <c r="A118" s="173">
        <f>Calc!A125</f>
        <v>1.1650000000000001E-2</v>
      </c>
      <c r="B118" s="173">
        <f>Calc!B125</f>
        <v>1.6410000000000001E-3</v>
      </c>
      <c r="C118" s="173">
        <f>Calc!C125</f>
        <v>2.921E-3</v>
      </c>
      <c r="D118" s="173">
        <f>Calc!I125</f>
        <v>5187547831771.0791</v>
      </c>
      <c r="E118" s="173">
        <f>Calc!P125</f>
        <v>2.242074418286701E-6</v>
      </c>
      <c r="F118" s="174">
        <f>Calc!S125</f>
        <v>446015.52550784673</v>
      </c>
      <c r="G118" s="173">
        <f>Calc!O125</f>
        <v>5187547831771.0791</v>
      </c>
      <c r="H118" s="177">
        <f>Calc!X125</f>
        <v>0.50943634993458975</v>
      </c>
      <c r="I118" s="178">
        <f>Calc!Y125</f>
        <v>0.30756440431954396</v>
      </c>
      <c r="J118" s="176">
        <f>Calc!AE125</f>
        <v>1662.0000676686905</v>
      </c>
    </row>
    <row r="119" spans="1:10" x14ac:dyDescent="0.2">
      <c r="A119" s="173">
        <f>Calc!A126</f>
        <v>1.175E-2</v>
      </c>
      <c r="B119" s="173">
        <f>Calc!B126</f>
        <v>1.83E-3</v>
      </c>
      <c r="C119" s="173">
        <f>Calc!C126</f>
        <v>2.7759999999999998E-3</v>
      </c>
      <c r="D119" s="173">
        <f>Calc!I126</f>
        <v>5785061324616.1641</v>
      </c>
      <c r="E119" s="173">
        <f>Calc!P126</f>
        <v>2.6340910627840923E-6</v>
      </c>
      <c r="F119" s="174">
        <f>Calc!S126</f>
        <v>379637.59643021476</v>
      </c>
      <c r="G119" s="173">
        <f>Calc!O126</f>
        <v>5785061324616.1641</v>
      </c>
      <c r="H119" s="177">
        <f>Calc!X126</f>
        <v>0.51223964707651015</v>
      </c>
      <c r="I119" s="178">
        <f>Calc!Y126</f>
        <v>0.29194508149639553</v>
      </c>
      <c r="J119" s="176">
        <f>Calc!AE126</f>
        <v>1661.9893615731173</v>
      </c>
    </row>
    <row r="120" spans="1:10" x14ac:dyDescent="0.2">
      <c r="A120" s="173">
        <f>Calc!A127</f>
        <v>1.1849999999999999E-2</v>
      </c>
      <c r="B120" s="173">
        <f>Calc!B127</f>
        <v>1.717E-3</v>
      </c>
      <c r="C120" s="173">
        <f>Calc!C127</f>
        <v>2.65E-3</v>
      </c>
      <c r="D120" s="173">
        <f>Calc!I127</f>
        <v>5427816701624.249</v>
      </c>
      <c r="E120" s="173">
        <f>Calc!P127</f>
        <v>2.5841874444006093E-6</v>
      </c>
      <c r="F120" s="174">
        <f>Calc!S127</f>
        <v>386968.83310086827</v>
      </c>
      <c r="G120" s="173">
        <f>Calc!O127</f>
        <v>5427816701624.249</v>
      </c>
      <c r="H120" s="177">
        <f>Calc!X127</f>
        <v>0.51060054390671405</v>
      </c>
      <c r="I120" s="178">
        <f>Calc!Y127</f>
        <v>0.27920625382901931</v>
      </c>
      <c r="J120" s="176">
        <f>Calc!AE127</f>
        <v>1661.99576255182</v>
      </c>
    </row>
    <row r="121" spans="1:10" x14ac:dyDescent="0.2">
      <c r="A121" s="173">
        <f>Calc!A128</f>
        <v>1.1950000000000001E-2</v>
      </c>
      <c r="B121" s="173">
        <f>Calc!B128</f>
        <v>1.9599999999999999E-3</v>
      </c>
      <c r="C121" s="173">
        <f>Calc!C128</f>
        <v>2.5300000000000001E-3</v>
      </c>
      <c r="D121" s="173">
        <f>Calc!I128</f>
        <v>6196054782584.2285</v>
      </c>
      <c r="E121" s="173">
        <f>Calc!P128</f>
        <v>3.0859179576693104E-6</v>
      </c>
      <c r="F121" s="174">
        <f>Calc!S128</f>
        <v>324052.68497760163</v>
      </c>
      <c r="G121" s="173">
        <f>Calc!O128</f>
        <v>6196054782584.2285</v>
      </c>
      <c r="H121" s="177">
        <f>Calc!X128</f>
        <v>0.51400465726497002</v>
      </c>
      <c r="I121" s="178">
        <f>Calc!Y128</f>
        <v>0.26690385954235346</v>
      </c>
      <c r="J121" s="176">
        <f>Calc!AE128</f>
        <v>1661.981997689757</v>
      </c>
    </row>
    <row r="122" spans="1:10" x14ac:dyDescent="0.2">
      <c r="A122" s="173">
        <f>Calc!A129</f>
        <v>1.205E-2</v>
      </c>
      <c r="B122" s="173">
        <f>Calc!B129</f>
        <v>1.629E-3</v>
      </c>
      <c r="C122" s="173">
        <f>Calc!C129</f>
        <v>2.4169999999999999E-3</v>
      </c>
      <c r="D122" s="173">
        <f>Calc!I129</f>
        <v>5149610777803.501</v>
      </c>
      <c r="E122" s="173">
        <f>Calc!P129</f>
        <v>2.6843177782127876E-6</v>
      </c>
      <c r="F122" s="174">
        <f>Calc!S129</f>
        <v>372534.13437049621</v>
      </c>
      <c r="G122" s="173">
        <f>Calc!O129</f>
        <v>5149610777803.501</v>
      </c>
      <c r="H122" s="177">
        <f>Calc!X129</f>
        <v>0.50924761917621242</v>
      </c>
      <c r="I122" s="178">
        <f>Calc!Y129</f>
        <v>0.25501425521971677</v>
      </c>
      <c r="J122" s="176">
        <f>Calc!AE129</f>
        <v>1662.0007474264744</v>
      </c>
    </row>
    <row r="123" spans="1:10" x14ac:dyDescent="0.2">
      <c r="A123" s="173">
        <f>Calc!A130</f>
        <v>1.2149999999999999E-2</v>
      </c>
      <c r="B123" s="173">
        <f>Calc!B130</f>
        <v>1.519E-3</v>
      </c>
      <c r="C123" s="173">
        <f>Calc!C130</f>
        <v>2.3050000000000002E-3</v>
      </c>
      <c r="D123" s="173">
        <f>Calc!I130</f>
        <v>4801856178219.4492</v>
      </c>
      <c r="E123" s="173">
        <f>Calc!P130</f>
        <v>2.6217962535283409E-6</v>
      </c>
      <c r="F123" s="174">
        <f>Calc!S130</f>
        <v>381417.89185710973</v>
      </c>
      <c r="G123" s="173">
        <f>Calc!O130</f>
        <v>4801856178219.4492</v>
      </c>
      <c r="H123" s="177">
        <f>Calc!X130</f>
        <v>0.50744988076148689</v>
      </c>
      <c r="I123" s="178">
        <f>Calc!Y130</f>
        <v>0.24346368460976828</v>
      </c>
      <c r="J123" s="176">
        <f>Calc!AE130</f>
        <v>1662.0069785711203</v>
      </c>
    </row>
    <row r="124" spans="1:10" x14ac:dyDescent="0.2">
      <c r="A124" s="173">
        <f>Calc!A131</f>
        <v>1.225E-2</v>
      </c>
      <c r="B124" s="173">
        <f>Calc!B131</f>
        <v>1.5610000000000001E-3</v>
      </c>
      <c r="C124" s="173">
        <f>Calc!C131</f>
        <v>2.1849999999999999E-3</v>
      </c>
      <c r="D124" s="173">
        <f>Calc!I131</f>
        <v>4934634839308.0254</v>
      </c>
      <c r="E124" s="173">
        <f>Calc!P131</f>
        <v>2.8407251683140455E-6</v>
      </c>
      <c r="F124" s="174">
        <f>Calc!S131</f>
        <v>352022.79018025054</v>
      </c>
      <c r="G124" s="173">
        <f>Calc!O131</f>
        <v>4934634839308.0254</v>
      </c>
      <c r="H124" s="177">
        <f>Calc!X131</f>
        <v>0.50815118866994691</v>
      </c>
      <c r="I124" s="178">
        <f>Calc!Y131</f>
        <v>0.23091374363804507</v>
      </c>
      <c r="J124" s="176">
        <f>Calc!AE131</f>
        <v>1662.0045994000702</v>
      </c>
    </row>
    <row r="125" spans="1:10" x14ac:dyDescent="0.2">
      <c r="A125" s="173">
        <f>Calc!A132</f>
        <v>1.235E-2</v>
      </c>
      <c r="B125" s="173">
        <f>Calc!B132</f>
        <v>1.3179999999999999E-3</v>
      </c>
      <c r="C125" s="173">
        <f>Calc!C132</f>
        <v>2.0730000000000002E-3</v>
      </c>
      <c r="D125" s="173">
        <f>Calc!I132</f>
        <v>4166421733828.3188</v>
      </c>
      <c r="E125" s="173">
        <f>Calc!P132</f>
        <v>0</v>
      </c>
      <c r="F125" s="174">
        <f>Calc!S132</f>
        <v>0</v>
      </c>
      <c r="G125" s="173">
        <f>Calc!O132</f>
        <v>4166421733828.3188</v>
      </c>
      <c r="H125" s="177">
        <f>Calc!X132</f>
        <v>0.50380051856738084</v>
      </c>
      <c r="I125" s="178" t="str">
        <f>Calc!Y132</f>
        <v/>
      </c>
      <c r="J125" s="176">
        <f>Calc!AE132</f>
        <v>1662.0183647191138</v>
      </c>
    </row>
    <row r="126" spans="1:10" x14ac:dyDescent="0.2">
      <c r="A126" s="173">
        <f>Calc!A133</f>
        <v>1.2449999999999999E-2</v>
      </c>
      <c r="B126" s="173">
        <f>Calc!B133</f>
        <v>9.3999999999999997E-4</v>
      </c>
      <c r="C126" s="173">
        <f>Calc!C133</f>
        <v>1.186E-3</v>
      </c>
      <c r="D126" s="173">
        <f>Calc!I133</f>
        <v>2971453803248.3032</v>
      </c>
      <c r="E126" s="173">
        <f>Calc!P133</f>
        <v>0</v>
      </c>
      <c r="F126" s="174">
        <f>Calc!S133</f>
        <v>0</v>
      </c>
      <c r="G126" s="173">
        <f>Calc!O133</f>
        <v>2971453803248.3032</v>
      </c>
      <c r="H126" s="177">
        <f>Calc!X133</f>
        <v>0.4951118798831799</v>
      </c>
      <c r="I126" s="178" t="str">
        <f>Calc!Y133</f>
        <v/>
      </c>
      <c r="J126" s="176">
        <f>Calc!AE133</f>
        <v>1662.0397779909044</v>
      </c>
    </row>
    <row r="127" spans="1:10" x14ac:dyDescent="0.2">
      <c r="A127" s="175"/>
      <c r="B127" s="175"/>
      <c r="C127" s="175"/>
      <c r="D127" s="175"/>
      <c r="E127" s="175"/>
      <c r="F127" s="175"/>
      <c r="G127" s="175"/>
      <c r="H127" s="175"/>
      <c r="I127" s="175"/>
      <c r="J127" s="175"/>
    </row>
    <row r="128" spans="1:10" x14ac:dyDescent="0.2">
      <c r="A128" s="175"/>
      <c r="B128" s="175"/>
      <c r="C128" s="175"/>
      <c r="D128" s="175"/>
      <c r="E128" s="175"/>
      <c r="F128" s="175"/>
      <c r="G128" s="175"/>
      <c r="H128" s="175"/>
      <c r="I128" s="175"/>
      <c r="J128" s="175"/>
    </row>
    <row r="129" spans="1:10" x14ac:dyDescent="0.2">
      <c r="A129" s="175"/>
      <c r="B129" s="175"/>
      <c r="C129" s="175"/>
      <c r="D129" s="175"/>
      <c r="E129" s="175"/>
      <c r="F129" s="175"/>
      <c r="G129" s="175"/>
      <c r="H129" s="175"/>
      <c r="I129" s="175"/>
      <c r="J129" s="175"/>
    </row>
    <row r="130" spans="1:10" x14ac:dyDescent="0.2">
      <c r="A130" s="175"/>
      <c r="B130" s="175"/>
      <c r="C130" s="175"/>
      <c r="D130" s="175"/>
      <c r="E130" s="175"/>
      <c r="F130" s="175"/>
      <c r="G130" s="175"/>
      <c r="H130" s="175"/>
      <c r="I130" s="175"/>
      <c r="J130" s="175"/>
    </row>
    <row r="131" spans="1:10" x14ac:dyDescent="0.2">
      <c r="A131" s="175"/>
      <c r="B131" s="175"/>
      <c r="C131" s="175"/>
      <c r="D131" s="175"/>
      <c r="E131" s="175"/>
      <c r="F131" s="175"/>
      <c r="G131" s="175"/>
      <c r="H131" s="175"/>
      <c r="I131" s="175"/>
      <c r="J131" s="175"/>
    </row>
    <row r="132" spans="1:10" x14ac:dyDescent="0.2">
      <c r="A132" s="175"/>
      <c r="B132" s="175"/>
      <c r="C132" s="175"/>
      <c r="D132" s="175"/>
      <c r="E132" s="175"/>
      <c r="F132" s="175"/>
      <c r="G132" s="175"/>
      <c r="H132" s="175"/>
      <c r="I132" s="175"/>
      <c r="J132" s="175"/>
    </row>
    <row r="133" spans="1:10" x14ac:dyDescent="0.2">
      <c r="A133" s="175"/>
      <c r="B133" s="175"/>
      <c r="C133" s="175"/>
      <c r="D133" s="175"/>
      <c r="E133" s="175"/>
      <c r="F133" s="175"/>
      <c r="G133" s="175"/>
      <c r="H133" s="175"/>
      <c r="I133" s="175"/>
      <c r="J133" s="175"/>
    </row>
    <row r="134" spans="1:10" x14ac:dyDescent="0.2">
      <c r="A134" s="175"/>
      <c r="B134" s="175"/>
      <c r="C134" s="175"/>
      <c r="D134" s="175"/>
      <c r="E134" s="175"/>
      <c r="F134" s="175"/>
      <c r="G134" s="175"/>
      <c r="H134" s="175"/>
      <c r="I134" s="175"/>
      <c r="J134" s="175"/>
    </row>
    <row r="135" spans="1:10" x14ac:dyDescent="0.2">
      <c r="A135" s="175"/>
      <c r="B135" s="175"/>
      <c r="C135" s="175"/>
      <c r="D135" s="175"/>
      <c r="E135" s="175"/>
      <c r="F135" s="175"/>
      <c r="G135" s="175"/>
      <c r="H135" s="175"/>
      <c r="I135" s="175"/>
      <c r="J135" s="175"/>
    </row>
    <row r="136" spans="1:10" x14ac:dyDescent="0.2">
      <c r="A136" s="175"/>
      <c r="B136" s="175"/>
      <c r="C136" s="175"/>
      <c r="D136" s="175"/>
      <c r="E136" s="175"/>
      <c r="F136" s="175"/>
      <c r="G136" s="175"/>
      <c r="H136" s="175"/>
      <c r="I136" s="175"/>
      <c r="J136" s="175"/>
    </row>
    <row r="137" spans="1:10" x14ac:dyDescent="0.2">
      <c r="A137" s="175"/>
      <c r="B137" s="175"/>
      <c r="C137" s="175"/>
      <c r="D137" s="175"/>
      <c r="E137" s="175"/>
      <c r="F137" s="175"/>
      <c r="G137" s="175"/>
      <c r="H137" s="175"/>
      <c r="I137" s="175"/>
      <c r="J137" s="175"/>
    </row>
    <row r="138" spans="1:10" x14ac:dyDescent="0.2">
      <c r="A138" s="175"/>
      <c r="B138" s="175"/>
      <c r="C138" s="175"/>
      <c r="D138" s="175"/>
      <c r="E138" s="175"/>
      <c r="F138" s="175"/>
      <c r="G138" s="175"/>
      <c r="H138" s="175"/>
      <c r="I138" s="175"/>
      <c r="J138" s="175"/>
    </row>
    <row r="139" spans="1:10" x14ac:dyDescent="0.2">
      <c r="A139" s="175"/>
      <c r="B139" s="175"/>
      <c r="C139" s="175"/>
      <c r="D139" s="175"/>
      <c r="E139" s="175"/>
      <c r="F139" s="175"/>
      <c r="G139" s="175"/>
      <c r="H139" s="175"/>
      <c r="I139" s="175"/>
      <c r="J139" s="175"/>
    </row>
    <row r="140" spans="1:10" x14ac:dyDescent="0.2">
      <c r="A140" s="175"/>
      <c r="B140" s="175"/>
      <c r="C140" s="175"/>
      <c r="D140" s="175"/>
      <c r="E140" s="175"/>
      <c r="F140" s="175"/>
      <c r="G140" s="175"/>
      <c r="H140" s="175"/>
      <c r="I140" s="175"/>
      <c r="J140" s="175"/>
    </row>
    <row r="141" spans="1:10" x14ac:dyDescent="0.2">
      <c r="A141" s="175"/>
      <c r="B141" s="175"/>
      <c r="C141" s="175"/>
      <c r="D141" s="175"/>
      <c r="E141" s="175"/>
      <c r="F141" s="175"/>
      <c r="G141" s="175"/>
      <c r="H141" s="175"/>
      <c r="I141" s="175"/>
      <c r="J141" s="175"/>
    </row>
    <row r="142" spans="1:10" x14ac:dyDescent="0.2">
      <c r="A142" s="175"/>
      <c r="B142" s="175"/>
      <c r="C142" s="175"/>
      <c r="D142" s="175"/>
      <c r="E142" s="175"/>
      <c r="F142" s="175"/>
      <c r="G142" s="175"/>
      <c r="H142" s="175"/>
      <c r="I142" s="175"/>
      <c r="J142" s="175"/>
    </row>
    <row r="143" spans="1:10" x14ac:dyDescent="0.2">
      <c r="A143" s="175"/>
      <c r="B143" s="175"/>
      <c r="C143" s="175"/>
      <c r="D143" s="175"/>
      <c r="E143" s="175"/>
      <c r="F143" s="175"/>
      <c r="G143" s="175"/>
      <c r="H143" s="175"/>
      <c r="I143" s="175"/>
      <c r="J143" s="175"/>
    </row>
    <row r="144" spans="1:10" x14ac:dyDescent="0.2">
      <c r="A144" s="175"/>
      <c r="B144" s="175"/>
      <c r="C144" s="175"/>
      <c r="D144" s="175"/>
      <c r="E144" s="175"/>
      <c r="F144" s="175"/>
      <c r="G144" s="175"/>
      <c r="H144" s="175"/>
      <c r="I144" s="175"/>
      <c r="J144" s="175"/>
    </row>
    <row r="145" spans="1:10" x14ac:dyDescent="0.2">
      <c r="A145" s="175"/>
      <c r="B145" s="175"/>
      <c r="C145" s="175"/>
      <c r="D145" s="175"/>
      <c r="E145" s="175"/>
      <c r="F145" s="175"/>
      <c r="G145" s="175"/>
      <c r="H145" s="175"/>
      <c r="I145" s="175"/>
      <c r="J145" s="175"/>
    </row>
    <row r="146" spans="1:10" x14ac:dyDescent="0.2">
      <c r="A146" s="175"/>
      <c r="B146" s="175"/>
      <c r="C146" s="175"/>
      <c r="D146" s="175"/>
      <c r="E146" s="175"/>
      <c r="F146" s="175"/>
      <c r="G146" s="175"/>
      <c r="H146" s="175"/>
      <c r="I146" s="175"/>
      <c r="J146" s="175"/>
    </row>
    <row r="147" spans="1:10" x14ac:dyDescent="0.2">
      <c r="A147" s="175"/>
      <c r="B147" s="175"/>
      <c r="C147" s="175"/>
      <c r="D147" s="175"/>
      <c r="E147" s="175"/>
      <c r="F147" s="175"/>
      <c r="G147" s="175"/>
      <c r="H147" s="175"/>
      <c r="I147" s="175"/>
      <c r="J147" s="175"/>
    </row>
    <row r="148" spans="1:10" x14ac:dyDescent="0.2">
      <c r="A148" s="175"/>
      <c r="B148" s="175"/>
      <c r="C148" s="175"/>
      <c r="D148" s="175"/>
      <c r="E148" s="175"/>
      <c r="F148" s="175"/>
      <c r="G148" s="175"/>
      <c r="H148" s="175"/>
      <c r="I148" s="175"/>
      <c r="J148" s="175"/>
    </row>
    <row r="149" spans="1:10" x14ac:dyDescent="0.2">
      <c r="A149" s="175"/>
      <c r="B149" s="175"/>
      <c r="C149" s="175"/>
      <c r="D149" s="175"/>
      <c r="E149" s="175"/>
      <c r="F149" s="175"/>
      <c r="G149" s="175"/>
      <c r="H149" s="175"/>
      <c r="I149" s="175"/>
      <c r="J149" s="175"/>
    </row>
    <row r="150" spans="1:10" x14ac:dyDescent="0.2">
      <c r="A150" s="175"/>
      <c r="B150" s="175"/>
      <c r="C150" s="175"/>
      <c r="D150" s="175"/>
      <c r="E150" s="175"/>
      <c r="F150" s="175"/>
      <c r="G150" s="175"/>
      <c r="H150" s="175"/>
      <c r="I150" s="175"/>
      <c r="J150" s="175"/>
    </row>
    <row r="151" spans="1:10" x14ac:dyDescent="0.2">
      <c r="A151" s="175"/>
      <c r="B151" s="175"/>
      <c r="C151" s="175"/>
      <c r="D151" s="175"/>
      <c r="E151" s="175"/>
      <c r="F151" s="175"/>
      <c r="G151" s="175"/>
      <c r="H151" s="175"/>
      <c r="I151" s="175"/>
      <c r="J151" s="175"/>
    </row>
    <row r="152" spans="1:10" x14ac:dyDescent="0.2">
      <c r="A152" s="175"/>
      <c r="B152" s="175"/>
      <c r="C152" s="175"/>
      <c r="D152" s="175"/>
      <c r="E152" s="175"/>
      <c r="F152" s="175"/>
      <c r="G152" s="175"/>
      <c r="H152" s="175"/>
      <c r="I152" s="175"/>
      <c r="J152" s="175"/>
    </row>
    <row r="153" spans="1:10" x14ac:dyDescent="0.2">
      <c r="A153" s="175"/>
      <c r="B153" s="175"/>
      <c r="C153" s="175"/>
      <c r="D153" s="175"/>
      <c r="E153" s="175"/>
      <c r="F153" s="175"/>
      <c r="G153" s="175"/>
      <c r="H153" s="175"/>
      <c r="I153" s="175"/>
      <c r="J153" s="175"/>
    </row>
    <row r="154" spans="1:10" x14ac:dyDescent="0.2">
      <c r="A154" s="175"/>
      <c r="B154" s="175"/>
      <c r="C154" s="175"/>
      <c r="D154" s="175"/>
      <c r="E154" s="175"/>
      <c r="F154" s="175"/>
      <c r="G154" s="175"/>
      <c r="H154" s="175"/>
      <c r="I154" s="175"/>
      <c r="J154" s="175"/>
    </row>
    <row r="155" spans="1:10" x14ac:dyDescent="0.2">
      <c r="A155" s="175"/>
      <c r="B155" s="175"/>
      <c r="C155" s="175"/>
      <c r="D155" s="175"/>
      <c r="E155" s="175"/>
      <c r="F155" s="175"/>
      <c r="G155" s="175"/>
      <c r="H155" s="175"/>
      <c r="I155" s="175"/>
      <c r="J155" s="175"/>
    </row>
    <row r="156" spans="1:10" x14ac:dyDescent="0.2">
      <c r="A156" s="175"/>
      <c r="B156" s="175"/>
      <c r="C156" s="175"/>
      <c r="D156" s="175"/>
      <c r="E156" s="175"/>
      <c r="F156" s="175"/>
      <c r="G156" s="175"/>
      <c r="H156" s="175"/>
      <c r="I156" s="175"/>
      <c r="J156" s="175"/>
    </row>
    <row r="157" spans="1:10" x14ac:dyDescent="0.2">
      <c r="A157" s="175"/>
      <c r="B157" s="175"/>
      <c r="C157" s="175"/>
      <c r="D157" s="175"/>
      <c r="E157" s="175"/>
      <c r="F157" s="175"/>
      <c r="G157" s="175"/>
      <c r="H157" s="175"/>
      <c r="I157" s="175"/>
      <c r="J157" s="175"/>
    </row>
    <row r="158" spans="1:10" x14ac:dyDescent="0.2">
      <c r="A158" s="175"/>
      <c r="B158" s="175"/>
      <c r="C158" s="175"/>
      <c r="D158" s="175"/>
      <c r="E158" s="175"/>
      <c r="F158" s="175"/>
      <c r="G158" s="175"/>
      <c r="H158" s="175"/>
      <c r="I158" s="175"/>
      <c r="J158" s="175"/>
    </row>
    <row r="159" spans="1:10" x14ac:dyDescent="0.2">
      <c r="A159" s="175"/>
      <c r="B159" s="175"/>
      <c r="C159" s="175"/>
      <c r="D159" s="175"/>
      <c r="E159" s="175"/>
      <c r="F159" s="175"/>
      <c r="G159" s="175"/>
      <c r="H159" s="175"/>
      <c r="I159" s="175"/>
      <c r="J159" s="175"/>
    </row>
    <row r="160" spans="1:10" x14ac:dyDescent="0.2">
      <c r="A160" s="175"/>
      <c r="B160" s="175"/>
      <c r="C160" s="175"/>
      <c r="D160" s="175"/>
      <c r="E160" s="175"/>
      <c r="F160" s="175"/>
      <c r="G160" s="175"/>
      <c r="H160" s="175"/>
      <c r="I160" s="175"/>
      <c r="J160" s="175"/>
    </row>
    <row r="161" spans="1:10" x14ac:dyDescent="0.2">
      <c r="A161" s="175"/>
      <c r="B161" s="175"/>
      <c r="C161" s="175"/>
      <c r="D161" s="175"/>
      <c r="E161" s="175"/>
      <c r="F161" s="175"/>
      <c r="G161" s="175"/>
      <c r="H161" s="175"/>
      <c r="I161" s="175"/>
      <c r="J161" s="175"/>
    </row>
    <row r="162" spans="1:10" x14ac:dyDescent="0.2">
      <c r="A162" s="175"/>
      <c r="B162" s="175"/>
      <c r="C162" s="175"/>
      <c r="D162" s="175"/>
      <c r="E162" s="175"/>
      <c r="F162" s="175"/>
      <c r="G162" s="175"/>
      <c r="H162" s="175"/>
      <c r="I162" s="175"/>
      <c r="J162" s="175"/>
    </row>
    <row r="163" spans="1:10" x14ac:dyDescent="0.2">
      <c r="A163" s="175"/>
      <c r="B163" s="175"/>
      <c r="C163" s="175"/>
      <c r="D163" s="175"/>
      <c r="E163" s="175"/>
      <c r="F163" s="175"/>
      <c r="G163" s="175"/>
      <c r="H163" s="175"/>
      <c r="I163" s="175"/>
      <c r="J163" s="175"/>
    </row>
    <row r="164" spans="1:10" x14ac:dyDescent="0.2">
      <c r="A164" s="175"/>
      <c r="B164" s="175"/>
      <c r="C164" s="175"/>
      <c r="D164" s="175"/>
      <c r="E164" s="175"/>
      <c r="F164" s="175"/>
      <c r="G164" s="175"/>
      <c r="H164" s="175"/>
      <c r="I164" s="175"/>
      <c r="J164" s="175"/>
    </row>
    <row r="165" spans="1:10" x14ac:dyDescent="0.2">
      <c r="A165" s="175"/>
      <c r="B165" s="175"/>
      <c r="C165" s="175"/>
      <c r="D165" s="175"/>
      <c r="E165" s="175"/>
      <c r="F165" s="175"/>
      <c r="G165" s="175"/>
      <c r="H165" s="175"/>
      <c r="I165" s="175"/>
      <c r="J165" s="175"/>
    </row>
    <row r="166" spans="1:10" x14ac:dyDescent="0.2">
      <c r="A166" s="175"/>
      <c r="B166" s="175"/>
      <c r="C166" s="175"/>
      <c r="D166" s="175"/>
      <c r="E166" s="175"/>
      <c r="F166" s="175"/>
      <c r="G166" s="175"/>
      <c r="H166" s="175"/>
      <c r="I166" s="175"/>
      <c r="J166" s="175"/>
    </row>
    <row r="167" spans="1:10" x14ac:dyDescent="0.2">
      <c r="A167" s="175"/>
      <c r="B167" s="175"/>
      <c r="C167" s="175"/>
      <c r="D167" s="175"/>
      <c r="E167" s="175"/>
      <c r="F167" s="175"/>
      <c r="G167" s="175"/>
      <c r="H167" s="175"/>
      <c r="I167" s="175"/>
      <c r="J167" s="175"/>
    </row>
    <row r="168" spans="1:10" x14ac:dyDescent="0.2">
      <c r="A168" s="175"/>
      <c r="B168" s="175"/>
      <c r="C168" s="175"/>
      <c r="D168" s="175"/>
      <c r="E168" s="175"/>
      <c r="F168" s="175"/>
      <c r="G168" s="175"/>
      <c r="H168" s="175"/>
      <c r="I168" s="175"/>
      <c r="J168" s="175"/>
    </row>
    <row r="169" spans="1:10" x14ac:dyDescent="0.2">
      <c r="A169" s="175"/>
      <c r="B169" s="175"/>
      <c r="C169" s="175"/>
      <c r="D169" s="175"/>
      <c r="E169" s="175"/>
      <c r="F169" s="175"/>
      <c r="G169" s="175"/>
      <c r="H169" s="175"/>
      <c r="I169" s="175"/>
      <c r="J169" s="175"/>
    </row>
    <row r="170" spans="1:10" x14ac:dyDescent="0.2">
      <c r="A170" s="175"/>
      <c r="B170" s="175"/>
      <c r="C170" s="175"/>
      <c r="D170" s="175"/>
      <c r="E170" s="175"/>
      <c r="F170" s="175"/>
      <c r="G170" s="175"/>
      <c r="H170" s="175"/>
      <c r="I170" s="175"/>
      <c r="J170" s="175"/>
    </row>
    <row r="171" spans="1:10" x14ac:dyDescent="0.2">
      <c r="A171" s="175"/>
      <c r="B171" s="175"/>
      <c r="C171" s="175"/>
      <c r="D171" s="175"/>
      <c r="E171" s="175"/>
      <c r="F171" s="175"/>
      <c r="G171" s="175"/>
      <c r="H171" s="175"/>
      <c r="I171" s="175"/>
      <c r="J171" s="175"/>
    </row>
    <row r="172" spans="1:10" x14ac:dyDescent="0.2">
      <c r="A172" s="175"/>
      <c r="B172" s="175"/>
      <c r="C172" s="175"/>
      <c r="D172" s="175"/>
      <c r="E172" s="175"/>
      <c r="F172" s="175"/>
      <c r="G172" s="175"/>
      <c r="H172" s="175"/>
      <c r="I172" s="175"/>
      <c r="J172" s="175"/>
    </row>
    <row r="173" spans="1:10" x14ac:dyDescent="0.2">
      <c r="A173" s="175"/>
      <c r="B173" s="175"/>
      <c r="C173" s="175"/>
      <c r="D173" s="175"/>
      <c r="E173" s="175"/>
      <c r="F173" s="175"/>
      <c r="G173" s="175"/>
      <c r="H173" s="175"/>
      <c r="I173" s="175"/>
      <c r="J173" s="175"/>
    </row>
    <row r="174" spans="1:10" x14ac:dyDescent="0.2">
      <c r="A174" s="175"/>
      <c r="B174" s="175"/>
      <c r="C174" s="175"/>
      <c r="D174" s="175"/>
      <c r="E174" s="175"/>
      <c r="F174" s="175"/>
      <c r="G174" s="175"/>
      <c r="H174" s="175"/>
      <c r="I174" s="175"/>
      <c r="J174" s="175"/>
    </row>
    <row r="175" spans="1:10" x14ac:dyDescent="0.2">
      <c r="A175" s="175"/>
      <c r="B175" s="175"/>
      <c r="C175" s="175"/>
      <c r="D175" s="175"/>
      <c r="E175" s="175"/>
      <c r="F175" s="175"/>
      <c r="G175" s="175"/>
      <c r="H175" s="175"/>
      <c r="I175" s="175"/>
      <c r="J175" s="175"/>
    </row>
    <row r="176" spans="1:10" x14ac:dyDescent="0.2">
      <c r="A176" s="175"/>
      <c r="B176" s="175"/>
      <c r="C176" s="175"/>
      <c r="D176" s="175"/>
      <c r="E176" s="175"/>
      <c r="F176" s="175"/>
      <c r="G176" s="175"/>
      <c r="H176" s="175"/>
      <c r="I176" s="175"/>
      <c r="J176" s="175"/>
    </row>
    <row r="177" spans="1:10" x14ac:dyDescent="0.2">
      <c r="A177" s="175"/>
      <c r="B177" s="175"/>
      <c r="C177" s="175"/>
      <c r="D177" s="175"/>
      <c r="E177" s="175"/>
      <c r="F177" s="175"/>
      <c r="G177" s="175"/>
      <c r="H177" s="175"/>
      <c r="I177" s="175"/>
      <c r="J177" s="175"/>
    </row>
    <row r="178" spans="1:10" x14ac:dyDescent="0.2">
      <c r="A178" s="175"/>
      <c r="B178" s="175"/>
      <c r="C178" s="175"/>
      <c r="D178" s="175"/>
      <c r="E178" s="175"/>
      <c r="F178" s="175"/>
      <c r="G178" s="175"/>
      <c r="H178" s="175"/>
      <c r="I178" s="175"/>
      <c r="J178" s="175"/>
    </row>
    <row r="179" spans="1:10" x14ac:dyDescent="0.2">
      <c r="A179" s="175"/>
      <c r="B179" s="175"/>
      <c r="C179" s="175"/>
      <c r="D179" s="175"/>
      <c r="E179" s="175"/>
      <c r="F179" s="175"/>
      <c r="G179" s="175"/>
      <c r="H179" s="175"/>
      <c r="I179" s="175"/>
      <c r="J179" s="175"/>
    </row>
    <row r="180" spans="1:10" x14ac:dyDescent="0.2">
      <c r="A180" s="175"/>
      <c r="B180" s="175"/>
      <c r="C180" s="175"/>
      <c r="D180" s="175"/>
      <c r="E180" s="175"/>
      <c r="F180" s="175"/>
      <c r="G180" s="175"/>
      <c r="H180" s="175"/>
      <c r="I180" s="175"/>
      <c r="J180" s="175"/>
    </row>
    <row r="181" spans="1:10" x14ac:dyDescent="0.2">
      <c r="A181" s="175"/>
      <c r="B181" s="175"/>
      <c r="C181" s="175"/>
      <c r="D181" s="175"/>
      <c r="E181" s="175"/>
      <c r="F181" s="175"/>
      <c r="G181" s="175"/>
      <c r="H181" s="175"/>
      <c r="I181" s="175"/>
      <c r="J181" s="175"/>
    </row>
    <row r="182" spans="1:10" x14ac:dyDescent="0.2">
      <c r="A182" s="175"/>
      <c r="B182" s="175"/>
      <c r="C182" s="175"/>
      <c r="D182" s="175"/>
      <c r="E182" s="175"/>
      <c r="F182" s="175"/>
      <c r="G182" s="175"/>
      <c r="H182" s="175"/>
      <c r="I182" s="175"/>
      <c r="J182" s="175"/>
    </row>
    <row r="183" spans="1:10" x14ac:dyDescent="0.2">
      <c r="A183" s="175"/>
      <c r="B183" s="175"/>
      <c r="C183" s="175"/>
      <c r="D183" s="175"/>
      <c r="E183" s="175"/>
      <c r="F183" s="175"/>
      <c r="G183" s="175"/>
      <c r="H183" s="175"/>
      <c r="I183" s="175"/>
      <c r="J183" s="175"/>
    </row>
    <row r="184" spans="1:10" x14ac:dyDescent="0.2">
      <c r="A184" s="175"/>
      <c r="B184" s="175"/>
      <c r="C184" s="175"/>
      <c r="D184" s="175"/>
      <c r="E184" s="175"/>
      <c r="F184" s="175"/>
      <c r="G184" s="175"/>
      <c r="H184" s="175"/>
      <c r="I184" s="175"/>
      <c r="J184" s="175"/>
    </row>
    <row r="185" spans="1:10" x14ac:dyDescent="0.2">
      <c r="A185" s="175"/>
      <c r="B185" s="175"/>
      <c r="C185" s="175"/>
      <c r="D185" s="175"/>
      <c r="E185" s="175"/>
      <c r="F185" s="175"/>
      <c r="G185" s="175"/>
      <c r="H185" s="175"/>
      <c r="I185" s="175"/>
      <c r="J185" s="175"/>
    </row>
    <row r="186" spans="1:10" x14ac:dyDescent="0.2">
      <c r="A186" s="175"/>
      <c r="B186" s="175"/>
      <c r="C186" s="175"/>
      <c r="D186" s="175"/>
      <c r="E186" s="175"/>
      <c r="F186" s="175"/>
      <c r="G186" s="175"/>
      <c r="H186" s="175"/>
      <c r="I186" s="175"/>
      <c r="J186" s="175"/>
    </row>
    <row r="187" spans="1:10" x14ac:dyDescent="0.2">
      <c r="A187" s="175"/>
      <c r="B187" s="175"/>
      <c r="C187" s="175"/>
      <c r="D187" s="175"/>
      <c r="E187" s="175"/>
      <c r="F187" s="175"/>
      <c r="G187" s="175"/>
      <c r="H187" s="175"/>
      <c r="I187" s="175"/>
      <c r="J187" s="175"/>
    </row>
    <row r="188" spans="1:10" x14ac:dyDescent="0.2">
      <c r="A188" s="175"/>
      <c r="B188" s="175"/>
      <c r="C188" s="175"/>
      <c r="D188" s="175"/>
      <c r="E188" s="175"/>
      <c r="F188" s="175"/>
      <c r="G188" s="175"/>
      <c r="H188" s="175"/>
      <c r="I188" s="175"/>
      <c r="J188" s="175"/>
    </row>
    <row r="189" spans="1:10" x14ac:dyDescent="0.2">
      <c r="A189" s="175"/>
      <c r="B189" s="175"/>
      <c r="C189" s="175"/>
      <c r="D189" s="175"/>
      <c r="E189" s="175"/>
      <c r="F189" s="175"/>
      <c r="G189" s="175"/>
      <c r="H189" s="175"/>
      <c r="I189" s="175"/>
      <c r="J189" s="175"/>
    </row>
    <row r="190" spans="1:10" x14ac:dyDescent="0.2">
      <c r="A190" s="175"/>
      <c r="B190" s="175"/>
      <c r="C190" s="175"/>
      <c r="D190" s="175"/>
      <c r="E190" s="175"/>
      <c r="F190" s="175"/>
      <c r="G190" s="175"/>
      <c r="H190" s="175"/>
      <c r="I190" s="175"/>
      <c r="J190" s="175"/>
    </row>
    <row r="191" spans="1:10" x14ac:dyDescent="0.2">
      <c r="A191" s="175"/>
      <c r="B191" s="175"/>
      <c r="C191" s="175"/>
      <c r="D191" s="175"/>
      <c r="E191" s="175"/>
      <c r="F191" s="175"/>
      <c r="G191" s="175"/>
      <c r="H191" s="175"/>
      <c r="I191" s="175"/>
      <c r="J191" s="175"/>
    </row>
    <row r="192" spans="1:10" x14ac:dyDescent="0.2">
      <c r="A192" s="175"/>
      <c r="B192" s="175"/>
      <c r="C192" s="175"/>
      <c r="D192" s="175"/>
      <c r="E192" s="175"/>
      <c r="F192" s="175"/>
      <c r="G192" s="175"/>
      <c r="H192" s="175"/>
      <c r="I192" s="175"/>
      <c r="J192" s="175"/>
    </row>
    <row r="193" spans="1:10" x14ac:dyDescent="0.2">
      <c r="A193" s="175"/>
      <c r="B193" s="175"/>
      <c r="C193" s="175"/>
      <c r="D193" s="175"/>
      <c r="E193" s="175"/>
      <c r="F193" s="175"/>
      <c r="G193" s="175"/>
      <c r="H193" s="175"/>
      <c r="I193" s="175"/>
      <c r="J193" s="175"/>
    </row>
    <row r="194" spans="1:10" x14ac:dyDescent="0.2">
      <c r="A194" s="175"/>
      <c r="B194" s="175"/>
      <c r="C194" s="175"/>
      <c r="D194" s="175"/>
      <c r="E194" s="175"/>
      <c r="F194" s="175"/>
      <c r="G194" s="175"/>
      <c r="H194" s="175"/>
      <c r="I194" s="175"/>
      <c r="J194" s="175"/>
    </row>
    <row r="195" spans="1:10" x14ac:dyDescent="0.2">
      <c r="A195" s="175"/>
      <c r="B195" s="175"/>
      <c r="C195" s="175"/>
      <c r="D195" s="175"/>
      <c r="E195" s="175"/>
      <c r="F195" s="175"/>
      <c r="G195" s="175"/>
      <c r="H195" s="175"/>
      <c r="I195" s="175"/>
      <c r="J195" s="175"/>
    </row>
    <row r="196" spans="1:10" x14ac:dyDescent="0.2">
      <c r="A196" s="175"/>
      <c r="B196" s="175"/>
      <c r="C196" s="175"/>
      <c r="D196" s="175"/>
      <c r="E196" s="175"/>
      <c r="F196" s="175"/>
      <c r="G196" s="175"/>
      <c r="H196" s="175"/>
      <c r="I196" s="175"/>
      <c r="J196" s="175"/>
    </row>
    <row r="197" spans="1:10" x14ac:dyDescent="0.2">
      <c r="A197" s="175"/>
      <c r="B197" s="175"/>
      <c r="C197" s="175"/>
      <c r="D197" s="175"/>
      <c r="E197" s="175"/>
      <c r="F197" s="175"/>
      <c r="G197" s="175"/>
      <c r="H197" s="175"/>
      <c r="I197" s="175"/>
      <c r="J197" s="175"/>
    </row>
    <row r="198" spans="1:10" x14ac:dyDescent="0.2">
      <c r="A198" s="175"/>
      <c r="B198" s="175"/>
      <c r="C198" s="175"/>
      <c r="D198" s="175"/>
      <c r="E198" s="175"/>
      <c r="F198" s="175"/>
      <c r="G198" s="175"/>
      <c r="H198" s="175"/>
      <c r="I198" s="175"/>
      <c r="J198" s="175"/>
    </row>
    <row r="199" spans="1:10" x14ac:dyDescent="0.2">
      <c r="A199" s="175"/>
      <c r="B199" s="175"/>
      <c r="C199" s="175"/>
      <c r="D199" s="175"/>
      <c r="E199" s="175"/>
      <c r="F199" s="175"/>
      <c r="G199" s="175"/>
      <c r="H199" s="175"/>
      <c r="I199" s="175"/>
      <c r="J199" s="175"/>
    </row>
    <row r="200" spans="1:10" x14ac:dyDescent="0.2">
      <c r="A200" s="175"/>
      <c r="B200" s="175"/>
      <c r="C200" s="175"/>
      <c r="D200" s="175"/>
      <c r="E200" s="175"/>
      <c r="F200" s="175"/>
      <c r="G200" s="175"/>
      <c r="H200" s="175"/>
      <c r="I200" s="175"/>
      <c r="J200" s="175"/>
    </row>
    <row r="201" spans="1:10" x14ac:dyDescent="0.2">
      <c r="A201" s="175"/>
      <c r="B201" s="175"/>
      <c r="C201" s="175"/>
      <c r="D201" s="175"/>
      <c r="E201" s="175"/>
      <c r="F201" s="175"/>
      <c r="G201" s="175"/>
      <c r="H201" s="175"/>
      <c r="I201" s="175"/>
      <c r="J201" s="175"/>
    </row>
    <row r="202" spans="1:10" x14ac:dyDescent="0.2">
      <c r="A202" s="175"/>
      <c r="B202" s="175"/>
      <c r="C202" s="175"/>
      <c r="D202" s="175"/>
      <c r="E202" s="175"/>
      <c r="F202" s="175"/>
      <c r="G202" s="175"/>
      <c r="H202" s="175"/>
      <c r="I202" s="175"/>
      <c r="J202" s="175"/>
    </row>
    <row r="203" spans="1:10" x14ac:dyDescent="0.2">
      <c r="A203" s="175"/>
      <c r="B203" s="175"/>
      <c r="C203" s="175"/>
      <c r="D203" s="175"/>
      <c r="E203" s="175"/>
      <c r="F203" s="175"/>
      <c r="G203" s="175"/>
      <c r="H203" s="175"/>
      <c r="I203" s="175"/>
      <c r="J203" s="175"/>
    </row>
    <row r="204" spans="1:10" x14ac:dyDescent="0.2">
      <c r="A204" s="175"/>
      <c r="B204" s="175"/>
      <c r="C204" s="175"/>
      <c r="D204" s="175"/>
      <c r="E204" s="175"/>
      <c r="F204" s="175"/>
      <c r="G204" s="175"/>
      <c r="H204" s="175"/>
      <c r="I204" s="175"/>
      <c r="J204" s="175"/>
    </row>
    <row r="205" spans="1:10" x14ac:dyDescent="0.2">
      <c r="A205" s="175"/>
      <c r="B205" s="175"/>
      <c r="C205" s="175"/>
      <c r="D205" s="175"/>
      <c r="E205" s="175"/>
      <c r="F205" s="175"/>
      <c r="G205" s="175"/>
      <c r="H205" s="175"/>
      <c r="I205" s="175"/>
      <c r="J205" s="175"/>
    </row>
    <row r="206" spans="1:10" x14ac:dyDescent="0.2">
      <c r="A206" s="175"/>
      <c r="B206" s="175"/>
      <c r="C206" s="175"/>
      <c r="D206" s="175"/>
      <c r="E206" s="175"/>
      <c r="F206" s="175"/>
      <c r="G206" s="175"/>
      <c r="H206" s="175"/>
      <c r="I206" s="175"/>
      <c r="J206" s="175"/>
    </row>
    <row r="207" spans="1:10" x14ac:dyDescent="0.2">
      <c r="A207" s="175"/>
      <c r="B207" s="175"/>
      <c r="C207" s="175"/>
      <c r="D207" s="175"/>
      <c r="E207" s="175"/>
      <c r="F207" s="175"/>
      <c r="G207" s="175"/>
      <c r="H207" s="175"/>
      <c r="I207" s="175"/>
      <c r="J207" s="175"/>
    </row>
    <row r="208" spans="1:10" x14ac:dyDescent="0.2">
      <c r="A208" s="175"/>
      <c r="B208" s="175"/>
      <c r="C208" s="175"/>
      <c r="D208" s="175"/>
      <c r="E208" s="175"/>
      <c r="F208" s="175"/>
      <c r="G208" s="175"/>
      <c r="H208" s="175"/>
      <c r="I208" s="175"/>
      <c r="J208" s="175"/>
    </row>
    <row r="209" spans="1:10" x14ac:dyDescent="0.2">
      <c r="A209" s="175"/>
      <c r="B209" s="175"/>
      <c r="C209" s="175"/>
      <c r="D209" s="175"/>
      <c r="E209" s="175"/>
      <c r="F209" s="175"/>
      <c r="G209" s="175"/>
      <c r="H209" s="175"/>
      <c r="I209" s="175"/>
      <c r="J209" s="175"/>
    </row>
    <row r="210" spans="1:10" x14ac:dyDescent="0.2">
      <c r="A210" s="175"/>
      <c r="B210" s="175"/>
      <c r="C210" s="175"/>
      <c r="D210" s="175"/>
      <c r="E210" s="175"/>
      <c r="F210" s="175"/>
      <c r="G210" s="175"/>
      <c r="H210" s="175"/>
      <c r="I210" s="175"/>
      <c r="J210" s="175"/>
    </row>
    <row r="211" spans="1:10" x14ac:dyDescent="0.2">
      <c r="A211" s="175"/>
      <c r="B211" s="175"/>
      <c r="C211" s="175"/>
      <c r="D211" s="175"/>
      <c r="E211" s="175"/>
      <c r="F211" s="175"/>
      <c r="G211" s="175"/>
      <c r="H211" s="175"/>
      <c r="I211" s="175"/>
      <c r="J211" s="175"/>
    </row>
    <row r="212" spans="1:10" x14ac:dyDescent="0.2">
      <c r="A212" s="175"/>
      <c r="B212" s="175"/>
      <c r="C212" s="175"/>
      <c r="D212" s="175"/>
      <c r="E212" s="175"/>
      <c r="F212" s="175"/>
      <c r="G212" s="175"/>
      <c r="H212" s="175"/>
      <c r="I212" s="175"/>
      <c r="J212" s="175"/>
    </row>
    <row r="213" spans="1:10" x14ac:dyDescent="0.2">
      <c r="A213" s="175"/>
      <c r="B213" s="175"/>
      <c r="C213" s="175"/>
      <c r="D213" s="175"/>
      <c r="E213" s="175"/>
      <c r="F213" s="175"/>
      <c r="G213" s="175"/>
      <c r="H213" s="175"/>
      <c r="I213" s="175"/>
      <c r="J213" s="175"/>
    </row>
    <row r="214" spans="1:10" x14ac:dyDescent="0.2">
      <c r="A214" s="175"/>
      <c r="B214" s="175"/>
      <c r="C214" s="175"/>
      <c r="D214" s="175"/>
      <c r="E214" s="175"/>
      <c r="F214" s="175"/>
      <c r="G214" s="175"/>
      <c r="H214" s="175"/>
      <c r="I214" s="175"/>
      <c r="J214" s="175"/>
    </row>
    <row r="215" spans="1:10" x14ac:dyDescent="0.2">
      <c r="A215" s="175"/>
      <c r="B215" s="175"/>
      <c r="C215" s="175"/>
      <c r="D215" s="175"/>
      <c r="E215" s="175"/>
      <c r="F215" s="175"/>
      <c r="G215" s="175"/>
      <c r="H215" s="175"/>
      <c r="I215" s="175"/>
      <c r="J215" s="175"/>
    </row>
    <row r="216" spans="1:10" x14ac:dyDescent="0.2">
      <c r="A216" s="175"/>
      <c r="B216" s="175"/>
      <c r="C216" s="175"/>
      <c r="D216" s="175"/>
      <c r="E216" s="175"/>
      <c r="F216" s="175"/>
      <c r="G216" s="175"/>
      <c r="H216" s="175"/>
      <c r="I216" s="175"/>
      <c r="J216" s="175"/>
    </row>
    <row r="217" spans="1:10" x14ac:dyDescent="0.2">
      <c r="A217" s="175"/>
      <c r="B217" s="175"/>
      <c r="C217" s="175"/>
      <c r="D217" s="175"/>
      <c r="E217" s="175"/>
      <c r="F217" s="175"/>
      <c r="G217" s="175"/>
      <c r="H217" s="175"/>
      <c r="I217" s="175"/>
      <c r="J217" s="175"/>
    </row>
    <row r="218" spans="1:10" x14ac:dyDescent="0.2">
      <c r="A218" s="175"/>
      <c r="B218" s="175"/>
      <c r="C218" s="175"/>
      <c r="D218" s="175"/>
      <c r="E218" s="175"/>
      <c r="F218" s="175"/>
      <c r="G218" s="175"/>
      <c r="H218" s="175"/>
      <c r="I218" s="175"/>
      <c r="J218" s="175"/>
    </row>
    <row r="219" spans="1:10" x14ac:dyDescent="0.2">
      <c r="A219" s="175"/>
      <c r="B219" s="175"/>
      <c r="C219" s="175"/>
      <c r="D219" s="175"/>
      <c r="E219" s="175"/>
      <c r="F219" s="175"/>
      <c r="G219" s="175"/>
      <c r="H219" s="175"/>
      <c r="I219" s="175"/>
      <c r="J219" s="175"/>
    </row>
    <row r="220" spans="1:10" x14ac:dyDescent="0.2">
      <c r="A220" s="175"/>
      <c r="B220" s="175"/>
      <c r="C220" s="175"/>
      <c r="D220" s="175"/>
      <c r="E220" s="175"/>
      <c r="F220" s="175"/>
      <c r="G220" s="175"/>
      <c r="H220" s="175"/>
      <c r="I220" s="175"/>
      <c r="J220" s="175"/>
    </row>
    <row r="221" spans="1:10" x14ac:dyDescent="0.2">
      <c r="A221" s="175"/>
      <c r="B221" s="175"/>
      <c r="C221" s="175"/>
      <c r="D221" s="175"/>
      <c r="E221" s="175"/>
      <c r="F221" s="175"/>
      <c r="G221" s="175"/>
      <c r="H221" s="175"/>
      <c r="I221" s="175"/>
      <c r="J221" s="175"/>
    </row>
    <row r="222" spans="1:10" x14ac:dyDescent="0.2">
      <c r="A222" s="175"/>
      <c r="B222" s="175"/>
      <c r="C222" s="175"/>
      <c r="D222" s="175"/>
      <c r="E222" s="175"/>
      <c r="F222" s="175"/>
      <c r="G222" s="175"/>
      <c r="H222" s="175"/>
      <c r="I222" s="175"/>
      <c r="J222" s="175"/>
    </row>
    <row r="223" spans="1:10" x14ac:dyDescent="0.2">
      <c r="A223" s="175"/>
      <c r="B223" s="175"/>
      <c r="C223" s="175"/>
      <c r="D223" s="175"/>
      <c r="E223" s="175"/>
      <c r="F223" s="175"/>
      <c r="G223" s="175"/>
      <c r="H223" s="175"/>
      <c r="I223" s="175"/>
      <c r="J223" s="175"/>
    </row>
    <row r="224" spans="1:10" x14ac:dyDescent="0.2">
      <c r="A224" s="175"/>
      <c r="B224" s="175"/>
      <c r="C224" s="175"/>
      <c r="D224" s="175"/>
      <c r="E224" s="175"/>
      <c r="F224" s="175"/>
      <c r="G224" s="175"/>
      <c r="H224" s="175"/>
      <c r="I224" s="175"/>
      <c r="J224" s="175"/>
    </row>
    <row r="225" spans="1:10" x14ac:dyDescent="0.2">
      <c r="A225" s="175"/>
      <c r="B225" s="175"/>
      <c r="C225" s="175"/>
      <c r="D225" s="175"/>
      <c r="E225" s="175"/>
      <c r="F225" s="175"/>
      <c r="G225" s="175"/>
      <c r="H225" s="175"/>
      <c r="I225" s="175"/>
      <c r="J225" s="175"/>
    </row>
    <row r="226" spans="1:10" x14ac:dyDescent="0.2">
      <c r="A226" s="175"/>
      <c r="B226" s="175"/>
      <c r="C226" s="175"/>
      <c r="D226" s="175"/>
      <c r="E226" s="175"/>
      <c r="F226" s="175"/>
      <c r="G226" s="175"/>
      <c r="H226" s="175"/>
      <c r="I226" s="175"/>
      <c r="J226" s="1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47"/>
  <sheetViews>
    <sheetView workbookViewId="0">
      <selection activeCell="H5" sqref="H5"/>
    </sheetView>
  </sheetViews>
  <sheetFormatPr defaultRowHeight="12.75" x14ac:dyDescent="0.2"/>
  <cols>
    <col min="1" max="1" width="9.140625" style="4"/>
    <col min="2" max="2" width="22.42578125" style="4" customWidth="1"/>
    <col min="3" max="3" width="12.28515625" style="4" customWidth="1"/>
    <col min="4" max="4" width="17.7109375" style="4" customWidth="1"/>
    <col min="5" max="5" width="13.140625" style="4" customWidth="1"/>
    <col min="6" max="6" width="11.85546875" style="4" customWidth="1"/>
    <col min="7" max="7" width="19.7109375" style="4" customWidth="1"/>
    <col min="8" max="8" width="13.28515625" style="4" customWidth="1"/>
    <col min="9" max="9" width="12.7109375" style="4" customWidth="1"/>
    <col min="10" max="11" width="9.140625" style="4"/>
    <col min="12" max="12" width="12.42578125" style="4" bestFit="1" customWidth="1"/>
    <col min="13" max="16384" width="9.140625" style="4"/>
  </cols>
  <sheetData>
    <row r="1" spans="1:13" ht="14.25" customHeight="1" x14ac:dyDescent="0.2"/>
    <row r="2" spans="1:13" x14ac:dyDescent="0.2">
      <c r="B2" s="12" t="s">
        <v>221</v>
      </c>
      <c r="C2" s="13" t="s">
        <v>222</v>
      </c>
      <c r="D2" s="13" t="s">
        <v>198</v>
      </c>
      <c r="E2" s="12" t="s">
        <v>223</v>
      </c>
    </row>
    <row r="3" spans="1:13" ht="15.75" customHeight="1" x14ac:dyDescent="0.2">
      <c r="B3" s="4" t="s">
        <v>51</v>
      </c>
      <c r="C3" s="15">
        <v>0.5</v>
      </c>
      <c r="D3" s="7">
        <f>VLOOKUP(C3,$D$30:$E$37,2,FALSE)</f>
        <v>20</v>
      </c>
      <c r="E3" s="4" t="str">
        <f>" /pcgain="&amp;D3</f>
        <v xml:space="preserve"> /pcgain=20</v>
      </c>
      <c r="F3" s="5"/>
      <c r="G3" s="4" t="s">
        <v>50</v>
      </c>
      <c r="H3" s="8" t="s">
        <v>281</v>
      </c>
    </row>
    <row r="4" spans="1:13" x14ac:dyDescent="0.2">
      <c r="B4" s="4" t="s">
        <v>52</v>
      </c>
      <c r="C4" s="15">
        <v>1</v>
      </c>
      <c r="D4" s="7">
        <f>VLOOKUP(C4,$D$30:$E$37,2,FALSE)</f>
        <v>10</v>
      </c>
      <c r="E4" s="4" t="str">
        <f>" /refgain="&amp;D4</f>
        <v xml:space="preserve"> /refgain=10</v>
      </c>
      <c r="F4" s="5"/>
      <c r="G4" s="9" t="s">
        <v>227</v>
      </c>
      <c r="H4" s="9" t="str">
        <f>PathName&amp;PCGainFlag&amp;RefGainFlag&amp;BaseGainFlag&amp;xferFlag&amp;flashWaitFlag&amp;numFlashesFlag&amp;TimeScaleFlags&amp;cutoffflag</f>
        <v>C:\lifetime\lifetime.exe /subbase=2 /basetime_us=20000 /pcgain=20 /refgain=10 /basegain=1 /xfer=125 /flashwait_s=6 /numflashes=1 /pulselength=12500 /cutoff=12500</v>
      </c>
      <c r="L4" s="8"/>
    </row>
    <row r="5" spans="1:13" x14ac:dyDescent="0.2">
      <c r="B5" s="4" t="s">
        <v>53</v>
      </c>
      <c r="C5" s="15">
        <v>10</v>
      </c>
      <c r="D5" s="7">
        <f>VLOOKUP(C5,$D$30:$E$37,2,FALSE)</f>
        <v>1</v>
      </c>
      <c r="E5" s="4" t="str">
        <f>" /basegain="&amp;D5</f>
        <v xml:space="preserve"> /basegain=1</v>
      </c>
      <c r="G5" s="18" t="s">
        <v>226</v>
      </c>
      <c r="H5" s="18" t="str">
        <f>"C:\lifetime\lifetime.exe /baseonly=true /autoexit=true"&amp;E12</f>
        <v>C:\lifetime\lifetime.exe /baseonly=true /autoexit=true /basegain=10</v>
      </c>
    </row>
    <row r="6" spans="1:13" x14ac:dyDescent="0.2">
      <c r="B6" s="8" t="s">
        <v>255</v>
      </c>
      <c r="C6" s="16">
        <f>PulseLength</f>
        <v>12500</v>
      </c>
      <c r="D6" s="7"/>
      <c r="E6" s="4" t="str">
        <f>" /pulselength="&amp;PulseLength</f>
        <v xml:space="preserve"> /pulselength=12500</v>
      </c>
      <c r="G6" s="37" t="s">
        <v>305</v>
      </c>
      <c r="H6" s="38" t="s">
        <v>306</v>
      </c>
    </row>
    <row r="7" spans="1:13" x14ac:dyDescent="0.2">
      <c r="B7" s="8" t="s">
        <v>241</v>
      </c>
      <c r="C7" s="16">
        <f>TSampleTime</f>
        <v>100000</v>
      </c>
      <c r="D7" s="7"/>
      <c r="E7" s="4" t="str">
        <f>" /ltransient="&amp;C7</f>
        <v xml:space="preserve"> /ltransient=100000</v>
      </c>
      <c r="G7" s="8" t="s">
        <v>256</v>
      </c>
      <c r="H7" s="4" t="str">
        <f>IF(OR(AnalysisMode = "Transient",AnalysisMode = "Generalized (1/64)"),ltransientFlag&amp;ntransientFlag,PulseLengthFlag)</f>
        <v xml:space="preserve"> /pulselength=12500</v>
      </c>
    </row>
    <row r="8" spans="1:13" x14ac:dyDescent="0.2">
      <c r="B8" s="8" t="s">
        <v>246</v>
      </c>
      <c r="C8" s="16">
        <f>TNumTaus</f>
        <v>3</v>
      </c>
      <c r="D8" s="7"/>
      <c r="E8" s="4" t="str">
        <f>" /ntransient="&amp;C8</f>
        <v xml:space="preserve"> /ntransient=3</v>
      </c>
    </row>
    <row r="9" spans="1:13" x14ac:dyDescent="0.2">
      <c r="A9" s="7"/>
      <c r="B9" s="5" t="s">
        <v>54</v>
      </c>
      <c r="C9" s="15">
        <v>125</v>
      </c>
      <c r="D9" s="7"/>
      <c r="E9" s="8" t="str">
        <f>" /xfer="&amp;C9</f>
        <v xml:space="preserve"> /xfer=125</v>
      </c>
      <c r="J9" s="5"/>
      <c r="L9" s="5"/>
      <c r="M9" s="5"/>
    </row>
    <row r="10" spans="1:13" x14ac:dyDescent="0.2">
      <c r="A10" s="7"/>
      <c r="B10" s="6" t="s">
        <v>82</v>
      </c>
      <c r="C10" s="15">
        <f>IF(OR(AnalysisMode="Transient",AnalysisMode="Generalized (1/64)"),TransFlashDelay,QSSFlashDelay)</f>
        <v>6</v>
      </c>
      <c r="D10" s="7"/>
      <c r="E10" s="4" t="str">
        <f>" /flashwait_s="&amp;C10</f>
        <v xml:space="preserve"> /flashwait_s=6</v>
      </c>
      <c r="J10" s="5"/>
    </row>
    <row r="11" spans="1:13" x14ac:dyDescent="0.2">
      <c r="A11" s="7"/>
      <c r="B11" s="36" t="s">
        <v>236</v>
      </c>
      <c r="C11" s="15">
        <v>1</v>
      </c>
      <c r="D11" s="7"/>
      <c r="E11" s="4" t="str">
        <f>" /numflashes="&amp;C11</f>
        <v xml:space="preserve"> /numflashes=1</v>
      </c>
      <c r="J11" s="5"/>
    </row>
    <row r="12" spans="1:13" x14ac:dyDescent="0.2">
      <c r="A12" s="7"/>
      <c r="B12" s="8" t="s">
        <v>224</v>
      </c>
      <c r="C12" s="14">
        <f>AirVoltageRange</f>
        <v>1</v>
      </c>
      <c r="D12" s="7">
        <f>VLOOKUP(C12,$D$30:$E$37,2,FALSE)</f>
        <v>10</v>
      </c>
      <c r="E12" s="4" t="str">
        <f>" /basegain="&amp;D12</f>
        <v xml:space="preserve"> /basegain=10</v>
      </c>
      <c r="J12" s="5"/>
      <c r="L12" s="5"/>
    </row>
    <row r="13" spans="1:13" x14ac:dyDescent="0.2">
      <c r="A13" s="7"/>
      <c r="B13" s="8" t="s">
        <v>330</v>
      </c>
      <c r="C13" s="7">
        <f>IF(OR(AnalysisMode = "Transient",AnalysisMode = "Generalized (1/64)"),200,PulseLength)</f>
        <v>12500</v>
      </c>
      <c r="E13" s="4" t="str">
        <f>" /cutoff="&amp;C13</f>
        <v xml:space="preserve"> /cutoff=12500</v>
      </c>
    </row>
    <row r="14" spans="1:13" x14ac:dyDescent="0.2">
      <c r="A14" s="7"/>
      <c r="D14" s="9"/>
      <c r="E14" s="9"/>
      <c r="F14" s="9"/>
      <c r="G14" s="9"/>
      <c r="H14" s="9"/>
      <c r="I14" s="9"/>
      <c r="J14" s="9"/>
      <c r="K14" s="9"/>
    </row>
    <row r="15" spans="1:13" x14ac:dyDescent="0.2">
      <c r="A15" s="7"/>
      <c r="B15" s="12" t="s">
        <v>228</v>
      </c>
      <c r="C15" s="31" t="s">
        <v>229</v>
      </c>
      <c r="D15" s="32"/>
      <c r="E15" s="33" t="s">
        <v>230</v>
      </c>
      <c r="F15" s="20"/>
    </row>
    <row r="16" spans="1:13" x14ac:dyDescent="0.2">
      <c r="A16" s="7"/>
      <c r="B16" s="16" t="s">
        <v>19</v>
      </c>
      <c r="C16" s="34" t="s">
        <v>231</v>
      </c>
      <c r="D16" s="35" t="s">
        <v>232</v>
      </c>
      <c r="E16" s="34" t="s">
        <v>231</v>
      </c>
      <c r="F16" s="35" t="s">
        <v>232</v>
      </c>
      <c r="G16" s="17" t="s">
        <v>235</v>
      </c>
    </row>
    <row r="17" spans="1:7" x14ac:dyDescent="0.2">
      <c r="A17" s="7"/>
      <c r="B17" s="7">
        <v>0</v>
      </c>
      <c r="C17" s="21">
        <f>C3</f>
        <v>0.5</v>
      </c>
      <c r="D17" s="22">
        <f>C17*G17</f>
        <v>0.2</v>
      </c>
      <c r="E17" s="21">
        <f>C4</f>
        <v>1</v>
      </c>
      <c r="F17" s="22">
        <f>E17*G17</f>
        <v>0.4</v>
      </c>
      <c r="G17" s="29">
        <v>0.4</v>
      </c>
    </row>
    <row r="18" spans="1:7" x14ac:dyDescent="0.2">
      <c r="A18" s="7"/>
      <c r="B18" s="19">
        <f>Calc!A133</f>
        <v>1.2449999999999999E-2</v>
      </c>
      <c r="C18" s="21">
        <f>C3</f>
        <v>0.5</v>
      </c>
      <c r="D18" s="22">
        <f>C18*G17</f>
        <v>0.2</v>
      </c>
      <c r="E18" s="21">
        <f>C4</f>
        <v>1</v>
      </c>
      <c r="F18" s="22">
        <f>E18*G17</f>
        <v>0.4</v>
      </c>
    </row>
    <row r="19" spans="1:7" x14ac:dyDescent="0.2">
      <c r="A19" s="7"/>
      <c r="C19" s="23"/>
      <c r="D19" s="24"/>
      <c r="E19" s="23"/>
      <c r="F19" s="24"/>
    </row>
    <row r="20" spans="1:7" x14ac:dyDescent="0.2">
      <c r="A20" s="7"/>
      <c r="B20" s="17" t="s">
        <v>233</v>
      </c>
      <c r="C20" s="23"/>
      <c r="D20" s="24"/>
      <c r="E20" s="23"/>
      <c r="F20" s="24"/>
    </row>
    <row r="21" spans="1:7" x14ac:dyDescent="0.2">
      <c r="A21" s="7"/>
      <c r="B21" s="8" t="s">
        <v>234</v>
      </c>
      <c r="C21" s="25">
        <f>Calc!B150</f>
        <v>0.43029699999999999</v>
      </c>
      <c r="D21" s="24"/>
      <c r="E21" s="28">
        <f>Calc!B152</f>
        <v>0.56709799999999999</v>
      </c>
      <c r="F21" s="24"/>
    </row>
    <row r="22" spans="1:7" x14ac:dyDescent="0.2">
      <c r="A22" s="7"/>
      <c r="B22" s="8" t="s">
        <v>248</v>
      </c>
      <c r="C22" s="23" t="b">
        <f>AND(C21&gt;0.95*Command!C17,D3&lt;&gt;-1)</f>
        <v>0</v>
      </c>
      <c r="D22" s="24"/>
      <c r="E22" s="23" t="b">
        <f>IF(AnalysisMode = "Transient", FALSE, AND(E21&gt;0.95*E17,D4&lt;&gt;10))</f>
        <v>0</v>
      </c>
      <c r="F22" s="24"/>
    </row>
    <row r="23" spans="1:7" x14ac:dyDescent="0.2">
      <c r="A23" s="7"/>
      <c r="B23" s="8" t="s">
        <v>249</v>
      </c>
      <c r="C23" s="23" t="b">
        <f>AND(C21&lt;Command!D17,D3&lt;&gt;50)</f>
        <v>0</v>
      </c>
      <c r="D23" s="24"/>
      <c r="E23" s="23" t="b">
        <f>IF(AnalysisMode = "Transient", IF(D4&lt;&gt;50,TRUE,FALSE),AND(E21&lt;F17,D4&lt;&gt;50))</f>
        <v>0</v>
      </c>
      <c r="F23" s="24"/>
    </row>
    <row r="24" spans="1:7" x14ac:dyDescent="0.2">
      <c r="A24" s="7"/>
      <c r="B24" s="30"/>
      <c r="C24" s="23"/>
      <c r="D24" s="24"/>
      <c r="E24" s="23"/>
      <c r="F24" s="24"/>
      <c r="G24" s="5"/>
    </row>
    <row r="25" spans="1:7" x14ac:dyDescent="0.2">
      <c r="A25" s="7"/>
      <c r="B25" s="8"/>
      <c r="C25" s="26"/>
      <c r="D25" s="27"/>
      <c r="E25" s="26"/>
      <c r="F25" s="27"/>
      <c r="G25" s="5"/>
    </row>
    <row r="26" spans="1:7" x14ac:dyDescent="0.2">
      <c r="A26" s="7"/>
    </row>
    <row r="28" spans="1:7" x14ac:dyDescent="0.2">
      <c r="B28" s="1" t="s">
        <v>218</v>
      </c>
    </row>
    <row r="29" spans="1:7" x14ac:dyDescent="0.2">
      <c r="B29" s="3" t="b">
        <v>1</v>
      </c>
      <c r="D29" s="11" t="s">
        <v>199</v>
      </c>
      <c r="E29" s="11" t="s">
        <v>198</v>
      </c>
    </row>
    <row r="30" spans="1:7" x14ac:dyDescent="0.2">
      <c r="B30" s="3" t="b">
        <v>0</v>
      </c>
      <c r="D30" s="10">
        <v>0.2</v>
      </c>
      <c r="E30" s="10">
        <v>50</v>
      </c>
    </row>
    <row r="31" spans="1:7" x14ac:dyDescent="0.2">
      <c r="B31" s="1"/>
      <c r="D31" s="10">
        <v>0.5</v>
      </c>
      <c r="E31" s="10">
        <v>20</v>
      </c>
    </row>
    <row r="32" spans="1:7" x14ac:dyDescent="0.2">
      <c r="B32" s="2" t="s">
        <v>283</v>
      </c>
      <c r="D32" s="10">
        <v>1</v>
      </c>
      <c r="E32" s="10">
        <v>10</v>
      </c>
    </row>
    <row r="33" spans="2:5" x14ac:dyDescent="0.2">
      <c r="B33" s="2" t="s">
        <v>282</v>
      </c>
      <c r="D33" s="10">
        <v>2</v>
      </c>
      <c r="E33" s="10">
        <v>5</v>
      </c>
    </row>
    <row r="34" spans="2:5" x14ac:dyDescent="0.2">
      <c r="B34" s="2" t="s">
        <v>219</v>
      </c>
      <c r="D34" s="10">
        <v>5</v>
      </c>
      <c r="E34" s="10">
        <v>2</v>
      </c>
    </row>
    <row r="35" spans="2:5" x14ac:dyDescent="0.2">
      <c r="B35" s="2" t="s">
        <v>65</v>
      </c>
      <c r="D35" s="10">
        <v>10</v>
      </c>
      <c r="E35" s="10">
        <v>1</v>
      </c>
    </row>
    <row r="36" spans="2:5" x14ac:dyDescent="0.2">
      <c r="B36" s="1"/>
      <c r="D36" s="10">
        <v>20</v>
      </c>
      <c r="E36" s="10">
        <v>-1</v>
      </c>
    </row>
    <row r="37" spans="2:5" x14ac:dyDescent="0.2">
      <c r="B37" s="2" t="s">
        <v>26</v>
      </c>
      <c r="D37" s="10">
        <v>40</v>
      </c>
      <c r="E37" s="10">
        <v>-2</v>
      </c>
    </row>
    <row r="38" spans="2:5" x14ac:dyDescent="0.2">
      <c r="B38" s="2" t="s">
        <v>220</v>
      </c>
    </row>
    <row r="40" spans="2:5" x14ac:dyDescent="0.2">
      <c r="B40" s="11" t="s">
        <v>285</v>
      </c>
    </row>
    <row r="41" spans="2:5" x14ac:dyDescent="0.2">
      <c r="B41" s="11" t="s">
        <v>286</v>
      </c>
    </row>
    <row r="43" spans="2:5" x14ac:dyDescent="0.2">
      <c r="B43" s="11" t="s">
        <v>287</v>
      </c>
    </row>
    <row r="44" spans="2:5" x14ac:dyDescent="0.2">
      <c r="B44" s="11" t="s">
        <v>288</v>
      </c>
    </row>
    <row r="46" spans="2:5" x14ac:dyDescent="0.2">
      <c r="B46" s="11" t="s">
        <v>314</v>
      </c>
    </row>
    <row r="47" spans="2:5" x14ac:dyDescent="0.2">
      <c r="B47" s="11" t="s">
        <v>315</v>
      </c>
    </row>
  </sheetData>
  <phoneticPr fontId="0" type="noConversion"/>
  <dataValidations count="1">
    <dataValidation type="list" allowBlank="1" showInputMessage="1" showErrorMessage="1" sqref="C3:C5">
      <formula1>$D$30:$D$37</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C1:AG1"/>
  <sheetViews>
    <sheetView workbookViewId="0">
      <selection activeCell="A2" sqref="A2"/>
    </sheetView>
  </sheetViews>
  <sheetFormatPr defaultRowHeight="12.75" x14ac:dyDescent="0.2"/>
  <cols>
    <col min="1" max="16384" width="9.140625" style="83"/>
  </cols>
  <sheetData>
    <row r="1" spans="3:33" x14ac:dyDescent="0.2">
      <c r="C1" s="179"/>
      <c r="E1" s="180"/>
      <c r="G1" s="181"/>
      <c r="I1" s="182"/>
      <c r="K1" s="183"/>
      <c r="M1" s="184"/>
      <c r="O1" s="185"/>
      <c r="Q1" s="186"/>
      <c r="S1" s="187"/>
      <c r="U1" s="188"/>
      <c r="W1" s="189"/>
      <c r="Y1" s="190"/>
      <c r="AA1" s="191"/>
      <c r="AC1" s="192"/>
      <c r="AE1" s="193"/>
      <c r="AG1" s="194"/>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3F50E19601C74491401B1822BE2287" ma:contentTypeVersion="5" ma:contentTypeDescription="Create a new document." ma:contentTypeScope="" ma:versionID="30796733625fa050e1cebb16fc31e971">
  <xsd:schema xmlns:xsd="http://www.w3.org/2001/XMLSchema" xmlns:xs="http://www.w3.org/2001/XMLSchema" xmlns:p="http://schemas.microsoft.com/office/2006/metadata/properties" xmlns:ns2="ecbdb4a8-5d7f-4807-9e1b-4f6c61197046" targetNamespace="http://schemas.microsoft.com/office/2006/metadata/properties" ma:root="true" ma:fieldsID="7227dcb0acdd91e805d9797bbeeffe2f" ns2:_="">
    <xsd:import namespace="ecbdb4a8-5d7f-4807-9e1b-4f6c6119704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bdb4a8-5d7f-4807-9e1b-4f6c611970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8CD1225-2728-4F6A-9663-16598027A06E}"/>
</file>

<file path=customXml/itemProps2.xml><?xml version="1.0" encoding="utf-8"?>
<ds:datastoreItem xmlns:ds="http://schemas.openxmlformats.org/officeDocument/2006/customXml" ds:itemID="{62241163-7914-4F6E-BE6E-C914BEAE4FCC}"/>
</file>

<file path=customXml/itemProps3.xml><?xml version="1.0" encoding="utf-8"?>
<ds:datastoreItem xmlns:ds="http://schemas.openxmlformats.org/officeDocument/2006/customXml" ds:itemID="{955AE2DF-F307-4E57-BAAE-B0250BA2E98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123</vt:i4>
      </vt:variant>
    </vt:vector>
  </HeadingPairs>
  <TitlesOfParts>
    <vt:vector size="129" baseType="lpstr">
      <vt:lpstr>User</vt:lpstr>
      <vt:lpstr>Settings</vt:lpstr>
      <vt:lpstr>Summary</vt:lpstr>
      <vt:lpstr>Multi</vt:lpstr>
      <vt:lpstr>RawData</vt:lpstr>
      <vt:lpstr>Plots</vt:lpstr>
      <vt:lpstr>A_cal</vt:lpstr>
      <vt:lpstr>AccessSummary</vt:lpstr>
      <vt:lpstr>AccessSummaryFN</vt:lpstr>
      <vt:lpstr>Air_Voltage</vt:lpstr>
      <vt:lpstr>AirVoltageError</vt:lpstr>
      <vt:lpstr>AirVoltageRange</vt:lpstr>
      <vt:lpstr>AirVStdev</vt:lpstr>
      <vt:lpstr>AnalysisMode</vt:lpstr>
      <vt:lpstr>AnalysisModeErrorMsg</vt:lpstr>
      <vt:lpstr>AreaFrac</vt:lpstr>
      <vt:lpstr>Auger_Coefficient</vt:lpstr>
      <vt:lpstr>AugerModel</vt:lpstr>
      <vt:lpstr>AugerModelList</vt:lpstr>
      <vt:lpstr>AutoRescale</vt:lpstr>
      <vt:lpstr>AutoSummary</vt:lpstr>
      <vt:lpstr>B_cal</vt:lpstr>
      <vt:lpstr>BaseGainFlag</vt:lpstr>
      <vt:lpstr>BiasLight</vt:lpstr>
      <vt:lpstr>BiasPtCD</vt:lpstr>
      <vt:lpstr>C_cal</vt:lpstr>
      <vt:lpstr>C_wafer</vt:lpstr>
      <vt:lpstr>CorrectedResistivity</vt:lpstr>
      <vt:lpstr>CorrectedSheetRho</vt:lpstr>
      <vt:lpstr>CouplingMode</vt:lpstr>
      <vt:lpstr>cutoffflag</vt:lpstr>
      <vt:lpstr>Dark_Voltage</vt:lpstr>
      <vt:lpstr>DK</vt:lpstr>
      <vt:lpstr>DL</vt:lpstr>
      <vt:lpstr>ExcelAutosave</vt:lpstr>
      <vt:lpstr>ExcelSummary</vt:lpstr>
      <vt:lpstr>ExcelSummaryFN</vt:lpstr>
      <vt:lpstr>FirstPoint</vt:lpstr>
      <vt:lpstr>Fit_Range</vt:lpstr>
      <vt:lpstr>FitIntercept</vt:lpstr>
      <vt:lpstr>FitInterceptAuger</vt:lpstr>
      <vt:lpstr>FitRangeMax</vt:lpstr>
      <vt:lpstr>FitRangeMin</vt:lpstr>
      <vt:lpstr>FitSlope</vt:lpstr>
      <vt:lpstr>FitSlopeAuger</vt:lpstr>
      <vt:lpstr>flashWaitFlag</vt:lpstr>
      <vt:lpstr>HighTemp</vt:lpstr>
      <vt:lpstr>ImpliedVoc1sun</vt:lpstr>
      <vt:lpstr>InputResistivity</vt:lpstr>
      <vt:lpstr>InstrumentSN</vt:lpstr>
      <vt:lpstr>InstrumentType</vt:lpstr>
      <vt:lpstr>IsLogged</vt:lpstr>
      <vt:lpstr>Jo</vt:lpstr>
      <vt:lpstr>LifetimeTextLabel</vt:lpstr>
      <vt:lpstr>LightBiasErrorMsg</vt:lpstr>
      <vt:lpstr>LowTemp</vt:lpstr>
      <vt:lpstr>ltransientFlag</vt:lpstr>
      <vt:lpstr>MaxApparentCD</vt:lpstr>
      <vt:lpstr>MaxSuns</vt:lpstr>
      <vt:lpstr>MaxTauLimit</vt:lpstr>
      <vt:lpstr>MCDErrorMsg</vt:lpstr>
      <vt:lpstr>MeasDate</vt:lpstr>
      <vt:lpstr>MeasTime</vt:lpstr>
      <vt:lpstr>MeasureCmd</vt:lpstr>
      <vt:lpstr>MeasuredLifetime</vt:lpstr>
      <vt:lpstr>MeasuredLifetimeAuger</vt:lpstr>
      <vt:lpstr>MeasuredResistivity</vt:lpstr>
      <vt:lpstr>MeasureTempCmd</vt:lpstr>
      <vt:lpstr>MinApparentCD</vt:lpstr>
      <vt:lpstr>MinTauLimit</vt:lpstr>
      <vt:lpstr>MobilityModel</vt:lpstr>
      <vt:lpstr>mobilitymodelerror</vt:lpstr>
      <vt:lpstr>MobilityModelList</vt:lpstr>
      <vt:lpstr>Mode_List</vt:lpstr>
      <vt:lpstr>ntransientFlag</vt:lpstr>
      <vt:lpstr>numflashes</vt:lpstr>
      <vt:lpstr>numFlashesFlag</vt:lpstr>
      <vt:lpstr>NumFlashesInitial</vt:lpstr>
      <vt:lpstr>ONOFFList</vt:lpstr>
      <vt:lpstr>OptConst</vt:lpstr>
      <vt:lpstr>PassFailMsg</vt:lpstr>
      <vt:lpstr>PathName</vt:lpstr>
      <vt:lpstr>PC_ZoomIn</vt:lpstr>
      <vt:lpstr>PC_ZoomOut</vt:lpstr>
      <vt:lpstr>PCGainFlag</vt:lpstr>
      <vt:lpstr>PCRange</vt:lpstr>
      <vt:lpstr>PCRefRatio</vt:lpstr>
      <vt:lpstr>PCVoltageUpperBound</vt:lpstr>
      <vt:lpstr>PCVoltUpperBound</vt:lpstr>
      <vt:lpstr>PulseLength</vt:lpstr>
      <vt:lpstr>PulseLengthFlag</vt:lpstr>
      <vt:lpstr>QSSFlashDelay</vt:lpstr>
      <vt:lpstr>Ref_ZoomIn</vt:lpstr>
      <vt:lpstr>Ref_ZoomOut</vt:lpstr>
      <vt:lpstr>RefCellCal</vt:lpstr>
      <vt:lpstr>RefCellErrorMsg</vt:lpstr>
      <vt:lpstr>RefGainFlag</vt:lpstr>
      <vt:lpstr>RefRange</vt:lpstr>
      <vt:lpstr>RefVoltageUpperBound</vt:lpstr>
      <vt:lpstr>SampleDoping</vt:lpstr>
      <vt:lpstr>SampleNameUserSheet</vt:lpstr>
      <vt:lpstr>SampleType</vt:lpstr>
      <vt:lpstr>SheetResistance</vt:lpstr>
      <vt:lpstr>ShowUserForm</vt:lpstr>
      <vt:lpstr>SpecMCD</vt:lpstr>
      <vt:lpstr>SpecMCDminusTraps</vt:lpstr>
      <vt:lpstr>StepSize</vt:lpstr>
      <vt:lpstr>TauFitIntercept</vt:lpstr>
      <vt:lpstr>TauInvspecMCD</vt:lpstr>
      <vt:lpstr>Temperature</vt:lpstr>
      <vt:lpstr>TempScanAverage</vt:lpstr>
      <vt:lpstr>TextSummary</vt:lpstr>
      <vt:lpstr>TextSummaryFN</vt:lpstr>
      <vt:lpstr>TF_List</vt:lpstr>
      <vt:lpstr>TF_PassFail</vt:lpstr>
      <vt:lpstr>Thickness</vt:lpstr>
      <vt:lpstr>TimeofMaxCD</vt:lpstr>
      <vt:lpstr>TimeScaleFlags</vt:lpstr>
      <vt:lpstr>TNumTaus</vt:lpstr>
      <vt:lpstr>Tolerance</vt:lpstr>
      <vt:lpstr>TransFlashDelay</vt:lpstr>
      <vt:lpstr>Traps</vt:lpstr>
      <vt:lpstr>TSampleTime</vt:lpstr>
      <vt:lpstr>type_list</vt:lpstr>
      <vt:lpstr>ViewPoint</vt:lpstr>
      <vt:lpstr>VRangeList</vt:lpstr>
      <vt:lpstr>xferFlag</vt:lpstr>
      <vt:lpstr>ZeroInstrCmd</vt:lpstr>
      <vt:lpstr>ZeroInstTime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 Sinton</dc:creator>
  <cp:lastModifiedBy>Yan Zhu</cp:lastModifiedBy>
  <cp:lastPrinted>2012-01-16T22:35:25Z</cp:lastPrinted>
  <dcterms:created xsi:type="dcterms:W3CDTF">1998-06-23T16:13:05Z</dcterms:created>
  <dcterms:modified xsi:type="dcterms:W3CDTF">2017-05-11T04:47:10Z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0x010100953F50E19601C74491401B1822BE2287</vt:lpwstr>
  </property>
</Properties>
</file>